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7"/>
  <workbookPr/>
  <mc:AlternateContent xmlns:mc="http://schemas.openxmlformats.org/markup-compatibility/2006">
    <mc:Choice Requires="x15">
      <x15ac:absPath xmlns:x15ac="http://schemas.microsoft.com/office/spreadsheetml/2010/11/ac" url="C:\Users\imroa\Documents\Othello DA&amp;DS\May\Week 1 (4th &amp; 6th May)\"/>
    </mc:Choice>
  </mc:AlternateContent>
  <xr:revisionPtr revIDLastSave="0" documentId="13_ncr:1_{31749AC6-FF95-454A-8A2F-FE212269225F}" xr6:coauthVersionLast="47" xr6:coauthVersionMax="47" xr10:uidLastSave="{00000000-0000-0000-0000-000000000000}"/>
  <bookViews>
    <workbookView xWindow="-108" yWindow="-108" windowWidth="23256" windowHeight="12456" firstSheet="3" activeTab="6" xr2:uid="{F2A38DF7-D142-4480-B61B-03F3913910D4}"/>
  </bookViews>
  <sheets>
    <sheet name="HP_Nigeria_Sales_Data.xlsx" sheetId="1" r:id="rId1"/>
    <sheet name="Regional Analysis" sheetId="2" r:id="rId2"/>
    <sheet name="Salesperson Analysis" sheetId="3" r:id="rId3"/>
    <sheet name="Product Analysis" sheetId="4" r:id="rId4"/>
    <sheet name="Monthly Analysis" sheetId="5" r:id="rId5"/>
    <sheet name="Product Regional Analysis" sheetId="6" r:id="rId6"/>
    <sheet name="Dashboard" sheetId="7" r:id="rId7"/>
  </sheets>
  <definedNames>
    <definedName name="Slicer_Product">#N/A</definedName>
    <definedName name="Slicer_Region">#N/A</definedName>
    <definedName name="Slicer_Salespers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M9" i="7" l="1"/>
  <c r="H9" i="7"/>
  <c r="C9" i="7"/>
  <c r="G2"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J23" i="1"/>
  <c r="J24" i="1"/>
  <c r="J69" i="1"/>
  <c r="J25" i="1"/>
  <c r="J70" i="1"/>
  <c r="J26" i="1"/>
  <c r="J71" i="1"/>
  <c r="J27" i="1"/>
  <c r="J72" i="1"/>
  <c r="J28" i="1"/>
  <c r="J73" i="1"/>
  <c r="J29" i="1"/>
  <c r="J74" i="1"/>
  <c r="J30" i="1"/>
  <c r="J75" i="1"/>
  <c r="J31" i="1"/>
  <c r="J76" i="1"/>
  <c r="J32" i="1"/>
  <c r="J77" i="1"/>
  <c r="J2" i="1"/>
  <c r="J33" i="1"/>
  <c r="J48" i="1"/>
  <c r="J78" i="1"/>
  <c r="J86" i="1"/>
  <c r="J87" i="1"/>
  <c r="J105" i="1"/>
  <c r="J106" i="1"/>
  <c r="J3" i="1"/>
  <c r="J34" i="1"/>
  <c r="J49" i="1"/>
  <c r="J79" i="1"/>
  <c r="J80" i="1"/>
  <c r="J88" i="1"/>
  <c r="J107" i="1"/>
  <c r="J108" i="1"/>
  <c r="J4" i="1"/>
  <c r="J35" i="1"/>
  <c r="J50" i="1"/>
  <c r="J81" i="1"/>
  <c r="J89" i="1"/>
  <c r="J109" i="1"/>
  <c r="J110" i="1"/>
  <c r="J5" i="1"/>
  <c r="J36" i="1"/>
  <c r="J51" i="1"/>
  <c r="J82" i="1"/>
  <c r="J90" i="1"/>
  <c r="J111" i="1"/>
  <c r="J112" i="1"/>
  <c r="J6" i="1"/>
  <c r="J37" i="1"/>
  <c r="J52" i="1"/>
  <c r="J83" i="1"/>
  <c r="J91" i="1"/>
  <c r="J113" i="1"/>
  <c r="J114" i="1"/>
  <c r="J7" i="1"/>
  <c r="J38" i="1"/>
  <c r="J53" i="1"/>
  <c r="J84" i="1"/>
  <c r="J92" i="1"/>
  <c r="J115" i="1"/>
  <c r="J116" i="1"/>
  <c r="J117" i="1"/>
  <c r="J8" i="1"/>
  <c r="J9" i="1"/>
  <c r="J39" i="1"/>
  <c r="J54" i="1"/>
  <c r="J93" i="1"/>
  <c r="J10" i="1"/>
  <c r="J40" i="1"/>
  <c r="J55" i="1"/>
  <c r="J56" i="1"/>
  <c r="J94" i="1"/>
  <c r="J95" i="1"/>
  <c r="J118" i="1"/>
  <c r="J119" i="1"/>
  <c r="J11" i="1"/>
  <c r="J12" i="1"/>
  <c r="J57" i="1"/>
  <c r="J58" i="1"/>
  <c r="J96" i="1"/>
  <c r="J13" i="1"/>
  <c r="J41" i="1"/>
  <c r="J59" i="1"/>
  <c r="J60" i="1"/>
  <c r="J97" i="1"/>
  <c r="J14" i="1"/>
  <c r="J15" i="1"/>
  <c r="J42" i="1"/>
  <c r="J61" i="1"/>
  <c r="J98" i="1"/>
  <c r="J16" i="1"/>
  <c r="J43" i="1"/>
  <c r="J62" i="1"/>
  <c r="J63" i="1"/>
  <c r="J99" i="1"/>
  <c r="J17" i="1"/>
  <c r="J18" i="1"/>
  <c r="J44" i="1"/>
  <c r="J64" i="1"/>
  <c r="J100" i="1"/>
  <c r="J19" i="1"/>
  <c r="J20" i="1"/>
  <c r="J45" i="1"/>
  <c r="J46" i="1"/>
  <c r="J65" i="1"/>
  <c r="J66" i="1"/>
  <c r="J67" i="1"/>
  <c r="J85" i="1"/>
  <c r="J101" i="1"/>
  <c r="J102" i="1"/>
  <c r="J103" i="1"/>
  <c r="J120" i="1"/>
  <c r="J121" i="1"/>
  <c r="J21" i="1"/>
  <c r="J22" i="1"/>
  <c r="J47" i="1"/>
  <c r="J68" i="1"/>
  <c r="J104" i="1"/>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2" i="1"/>
</calcChain>
</file>

<file path=xl/sharedStrings.xml><?xml version="1.0" encoding="utf-8"?>
<sst xmlns="http://schemas.openxmlformats.org/spreadsheetml/2006/main" count="433" uniqueCount="39">
  <si>
    <t>Date</t>
  </si>
  <si>
    <t>Region</t>
  </si>
  <si>
    <t>Salesperson</t>
  </si>
  <si>
    <t>Product</t>
  </si>
  <si>
    <t>Cost</t>
  </si>
  <si>
    <t>Units Sold</t>
  </si>
  <si>
    <t>Unit Price</t>
  </si>
  <si>
    <t>South</t>
  </si>
  <si>
    <t>Ada</t>
  </si>
  <si>
    <t>Printer</t>
  </si>
  <si>
    <t>North</t>
  </si>
  <si>
    <t>Efe</t>
  </si>
  <si>
    <t>Mouse</t>
  </si>
  <si>
    <t>West</t>
  </si>
  <si>
    <t>Bola</t>
  </si>
  <si>
    <t>Monitor</t>
  </si>
  <si>
    <t>Headset</t>
  </si>
  <si>
    <t>Chidi</t>
  </si>
  <si>
    <t>Musa</t>
  </si>
  <si>
    <t>Laptop</t>
  </si>
  <si>
    <t>East</t>
  </si>
  <si>
    <t>Grace</t>
  </si>
  <si>
    <t>Keyboard</t>
  </si>
  <si>
    <t>Total Cost</t>
  </si>
  <si>
    <t>Total Sales</t>
  </si>
  <si>
    <t>Profit</t>
  </si>
  <si>
    <t>Month</t>
  </si>
  <si>
    <t>Total Profit</t>
  </si>
  <si>
    <t>Row Labels</t>
  </si>
  <si>
    <t>Grand Total</t>
  </si>
  <si>
    <t>Column Labels</t>
  </si>
  <si>
    <t>Jan</t>
  </si>
  <si>
    <t>Feb</t>
  </si>
  <si>
    <t>Mar</t>
  </si>
  <si>
    <t>Apr</t>
  </si>
  <si>
    <t>May</t>
  </si>
  <si>
    <t>Jun</t>
  </si>
  <si>
    <t>Total Units Sold</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</si>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</sst>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6A]#,##0.00"/>
    <numFmt numFmtId="168" formatCode="\₦0.00,,&quot;M&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2"/>
      <name val="Aptos Narrow"/>
      <family val="2"/>
      <scheme val="minor"/>
    </font>
    <font>
      <sz val="18"/>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499984740745262"/>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22" fontId="0" fillId="0" borderId="0" xfId="0" applyNumberFormat="1"/>
    <xf numFmtId="0" fontId="16" fillId="0" borderId="10" xfId="0" applyFont="1" applyBorder="1"/>
    <xf numFmtId="0" fontId="0" fillId="0" borderId="0" xfId="0" pivotButton="1"/>
    <xf numFmtId="0" fontId="0" fillId="0" borderId="0" xfId="0" applyAlignment="1">
      <alignment horizontal="left"/>
    </xf>
    <xf numFmtId="0" fontId="18" fillId="34" borderId="0" xfId="0" applyFont="1" applyFill="1"/>
    <xf numFmtId="165" fontId="16" fillId="0" borderId="10" xfId="0" applyNumberFormat="1" applyFont="1" applyBorder="1"/>
    <xf numFmtId="165" fontId="0" fillId="0" borderId="0" xfId="0" applyNumberFormat="1"/>
    <xf numFmtId="165" fontId="0" fillId="0" borderId="0" xfId="0" pivotButton="1" applyNumberFormat="1"/>
    <xf numFmtId="0" fontId="19" fillId="33" borderId="0" xfId="0" applyFont="1" applyFill="1" applyAlignment="1">
      <alignment horizontal="center"/>
    </xf>
    <xf numFmtId="0" fontId="17" fillId="33" borderId="0" xfId="0" applyFont="1" applyFill="1" applyAlignment="1">
      <alignment horizontal="center"/>
    </xf>
    <xf numFmtId="0" fontId="0" fillId="0" borderId="0" xfId="0" applyNumberFormat="1"/>
    <xf numFmtId="168" fontId="19" fillId="33" borderId="0" xfId="0" applyNumberFormat="1"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2">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0" formatCode="General"/>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165" formatCode="[$₦-46A]#,##0.00"/>
    </dxf>
    <dxf>
      <numFmt numFmtId="27" formatCode="dd/mm/yy\ hh:mm"/>
    </dxf>
    <dxf>
      <numFmt numFmtId="27" formatCode="dd/mm/yy\ hh:mm"/>
    </dxf>
    <dxf>
      <border outline="0">
        <bottom style="thin">
          <color indexed="64"/>
        </bottom>
      </border>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[Imran's_HP_Sales_Dashboard.xlsx]Regional Analysis!PivotTable1</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t>Total Sales and Profit by Region</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numFmt formatCode="\₦0.00,,&quot;M&quot;"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'Regional Analysis'!$B$1</c:f>
              <c:strCache>
                <c:ptCount val="1"/>
                <c:pt idx="0">
                  <c:v>Total Sales</c:v>
                </c:pt>
              </c:strCache>
            </c:strRef>
          </c:tx>
          <c:spPr>
            <a:solidFill>
              <a:schemeClr val="accent1"/>
            </a:solidFill>
            <a:ln>
              <a:noFill/>
            </a:ln>
            <a:effectLst/>
          </c:spPr>
          <c:invertIfNegative val="0"/>
          <c:dLbls>
            <c:numFmt formatCode="\₦0.00,,&quot;M&quot;"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 Analysis'!$A$2:$A$6</c:f>
              <c:strCache>
                <c:ptCount val="4"/>
                <c:pt idx="0">
                  <c:v>East</c:v>
                </c:pt>
                <c:pt idx="1">
                  <c:v>North</c:v>
                </c:pt>
                <c:pt idx="2">
                  <c:v>South</c:v>
                </c:pt>
                <c:pt idx="3">
                  <c:v>West</c:v>
                </c:pt>
              </c:strCache>
            </c:strRef>
          </c:cat>
          <c:val>
            <c:numRef>
              <c:f>'Regional Analysis'!$B$2:$B$6</c:f>
              <c:numCache>
                <c:formatCode>[$₦-46A]#,##0.00</c:formatCode>
                <c:ptCount val="4"/>
                <c:pt idx="0">
                  <c:v>28850000</c:v>
                </c:pt>
                <c:pt idx="1">
                  <c:v>26320000</c:v>
                </c:pt>
                <c:pt idx="2">
                  <c:v>22220000</c:v>
                </c:pt>
                <c:pt idx="3">
                  <c:v>22835000</c:v>
                </c:pt>
              </c:numCache>
            </c:numRef>
          </c:val>
          <c:extLst>
            <c:ext xmlns:c16="http://schemas.microsoft.com/office/drawing/2014/chart" uri="{C3380CC4-5D6E-409C-BE32-E72D297353CC}">
              <c16:uniqueId val="{00000000-E695-4A11-B904-9DB0A800DD6A}"/>
            </c:ext>
          </c:extLst>
        </c:ser>
        <c:ser>
          <c:idx val="1"/>
          <c:order val="1"/>
          <c:tx>
            <c:strRef>
              <c:f>'Regional Analysis'!$C$1</c:f>
              <c:strCache>
                <c:ptCount val="1"/>
                <c:pt idx="0">
                  <c:v>Total Profit</c:v>
                </c:pt>
              </c:strCache>
            </c:strRef>
          </c:tx>
          <c:spPr>
            <a:solidFill>
              <a:schemeClr val="accent2"/>
            </a:solidFill>
            <a:ln>
              <a:noFill/>
            </a:ln>
            <a:effectLst/>
          </c:spPr>
          <c:invertIfNegative val="0"/>
          <c:dLbls>
            <c:numFmt formatCode="\₦0.00,,&quot;M&quot;"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'Regional Analysis'!$A$2:$A$6</c:f>
              <c:strCache>
                <c:ptCount val="4"/>
                <c:pt idx="0">
                  <c:v>East</c:v>
                </c:pt>
                <c:pt idx="1">
                  <c:v>North</c:v>
                </c:pt>
                <c:pt idx="2">
                  <c:v>South</c:v>
                </c:pt>
                <c:pt idx="3">
                  <c:v>West</c:v>
                </c:pt>
              </c:strCache>
            </c:strRef>
          </c:cat>
          <c:val>
            <c:numRef>
              <c:f>'Regional Analysis'!$C$2:$C$6</c:f>
              <c:numCache>
                <c:formatCode>[$₦-46A]#,##0.00</c:formatCode>
                <c:ptCount val="4"/>
                <c:pt idx="0">
                  <c:v>28273157</c:v>
                </c:pt>
                <c:pt idx="1">
                  <c:v>25077709</c:v>
                </c:pt>
                <c:pt idx="2">
                  <c:v>21469972</c:v>
                </c:pt>
                <c:pt idx="3">
                  <c:v>21659698</c:v>
                </c:pt>
              </c:numCache>
            </c:numRef>
          </c:val>
          <c:extLst>
            <c:ext xmlns:c16="http://schemas.microsoft.com/office/drawing/2014/chart" uri="{C3380CC4-5D6E-409C-BE32-E72D297353CC}">
              <c16:uniqueId val="{00000001-E695-4A11-B904-9DB0A800DD6A}"/>
            </c:ext>
          </c:extLst>
        </c:ser>
        <c:dLbls>
          <c:dLblPos val="outEnd"/>
          <c:showLegendKey val="0"/>
          <c:showVal val="1"/>
          <c:showCatName val="0"/>
          <c:showSerName val="0"/>
          <c:showPercent val="0"/>
          <c:showBubbleSize val="0"/>
        </c:dLbls>
        <c:gapWidth val="219"/>
        <c:axId val="774892336"/>
        <c:axId val="716879984"/>
      </c:barChart>
      <c:catAx>
        <c:axId val="77489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879984"/>
        <c:crosses val="autoZero"/>
        <c:auto val="1"/>
        <c:lblAlgn val="ctr"/>
        <c:lblOffset val="100"/>
        <c:noMultiLvlLbl val="0"/>
      </c:catAx>
      <c:valAx>
        <c:axId val="71687998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489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[Imran's_HP_Sales_Dashboard.xlsx]Salesperson Analysis!PivotTable2</c:name>
    <c:fmtId val="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Profit per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'Salesperson Analysis'!$B$1</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'Salesperson Analysis'!$A$2:$A$8</c:f>
              <c:strCache>
                <c:ptCount val="6"/>
                <c:pt idx="0">
                  <c:v>Musa</c:v>
                </c:pt>
                <c:pt idx="1">
                  <c:v>Efe</c:v>
                </c:pt>
                <c:pt idx="2">
                  <c:v>Chidi</c:v>
                </c:pt>
                <c:pt idx="3">
                  <c:v>Bola</c:v>
                </c:pt>
                <c:pt idx="4">
                  <c:v>Grace</c:v>
                </c:pt>
                <c:pt idx="5">
                  <c:v>Ada</c:v>
                </c:pt>
              </c:strCache>
            </c:strRef>
          </c:cat>
          <c:val>
            <c:numRef>
              <c:f>'Salesperson Analysis'!$B$2:$B$8</c:f>
              <c:numCache>
                <c:formatCode>[$₦-46A]#,##0.00</c:formatCode>
                <c:ptCount val="6"/>
                <c:pt idx="0">
                  <c:v>20803838</c:v>
                </c:pt>
                <c:pt idx="1">
                  <c:v>20319006</c:v>
                </c:pt>
                <c:pt idx="2">
                  <c:v>16659573</c:v>
                </c:pt>
                <c:pt idx="3">
                  <c:v>15376443</c:v>
                </c:pt>
                <c:pt idx="4">
                  <c:v>13437444</c:v>
                </c:pt>
                <c:pt idx="5">
                  <c:v>9884232</c:v>
                </c:pt>
              </c:numCache>
            </c:numRef>
          </c:val>
          <c:extLst>
            <c:ext xmlns:c16="http://schemas.microsoft.com/office/drawing/2014/chart" uri="{C3380CC4-5D6E-409C-BE32-E72D297353CC}">
              <c16:uniqueId val="{00000000-9F0B-4762-8570-9C203B471A66}"/>
            </c:ext>
          </c:extLst>
        </c:ser>
        <c:dLbls>
          <c:dLblPos val="outEnd"/>
          <c:showLegendKey val="0"/>
          <c:showVal val="1"/>
          <c:showCatName val="0"/>
          <c:showSerName val="0"/>
          <c:showPercent val="0"/>
          <c:showBubbleSize val="0"/>
        </c:dLbls>
        <c:gapWidth val="219"/>
        <c:axId val="772797968"/>
        <c:axId val="716891504"/>
      </c:barChart>
      <c:catAx>
        <c:axId val="77279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891504"/>
        <c:crosses val="autoZero"/>
        <c:auto val="1"/>
        <c:lblAlgn val="ctr"/>
        <c:lblOffset val="100"/>
        <c:noMultiLvlLbl val="0"/>
      </c:catAx>
      <c:valAx>
        <c:axId val="716891504"/>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2797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[Imran's_HP_Sales_Dashboard.xlsx]Product Analysis!PivotTable3</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per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Analysis'!$B$1</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Analysis'!$A$2:$A$8</c:f>
              <c:strCache>
                <c:ptCount val="6"/>
                <c:pt idx="0">
                  <c:v>Keyboard</c:v>
                </c:pt>
                <c:pt idx="1">
                  <c:v>Monitor</c:v>
                </c:pt>
                <c:pt idx="2">
                  <c:v>Laptop</c:v>
                </c:pt>
                <c:pt idx="3">
                  <c:v>Printer</c:v>
                </c:pt>
                <c:pt idx="4">
                  <c:v>Headset</c:v>
                </c:pt>
                <c:pt idx="5">
                  <c:v>Mouse</c:v>
                </c:pt>
              </c:strCache>
            </c:strRef>
          </c:cat>
          <c:val>
            <c:numRef>
              <c:f>'Product Analysis'!$B$2:$B$8</c:f>
              <c:numCache>
                <c:formatCode>[$₦-46A]#,##0.00</c:formatCode>
                <c:ptCount val="6"/>
                <c:pt idx="0">
                  <c:v>12540000</c:v>
                </c:pt>
                <c:pt idx="1">
                  <c:v>13620000</c:v>
                </c:pt>
                <c:pt idx="2">
                  <c:v>14775000</c:v>
                </c:pt>
                <c:pt idx="3">
                  <c:v>18155000</c:v>
                </c:pt>
                <c:pt idx="4">
                  <c:v>19480000</c:v>
                </c:pt>
                <c:pt idx="5">
                  <c:v>21655000</c:v>
                </c:pt>
              </c:numCache>
            </c:numRef>
          </c:val>
          <c:extLst>
            <c:ext xmlns:c16="http://schemas.microsoft.com/office/drawing/2014/chart" uri="{C3380CC4-5D6E-409C-BE32-E72D297353CC}">
              <c16:uniqueId val="{00000000-AA30-443F-84EF-5039B3D2805B}"/>
            </c:ext>
          </c:extLst>
        </c:ser>
        <c:dLbls>
          <c:dLblPos val="outEnd"/>
          <c:showLegendKey val="0"/>
          <c:showVal val="1"/>
          <c:showCatName val="0"/>
          <c:showSerName val="0"/>
          <c:showPercent val="0"/>
          <c:showBubbleSize val="0"/>
        </c:dLbls>
        <c:gapWidth val="219"/>
        <c:axId val="778058640"/>
        <c:axId val="716887184"/>
      </c:barChart>
      <c:catAx>
        <c:axId val="77805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887184"/>
        <c:crosses val="autoZero"/>
        <c:auto val="1"/>
        <c:lblAlgn val="ctr"/>
        <c:lblOffset val="100"/>
        <c:noMultiLvlLbl val="0"/>
      </c:catAx>
      <c:valAx>
        <c:axId val="716887184"/>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7805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[Imran's_HP_Sales_Dashboard.xlsx]Monthly Analysis!PivotTable4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GB"/>
              <a:t>Monthly Trend of Sales and Profit</a:t>
            </a:r>
          </a:p>
        </c:rich>
      </c:tx>
      <c:layout>
        <c:manualLayout>
          <c:xMode val="edge"/>
          <c:yMode val="edge"/>
          <c:x val="0.17824940741018008"/>
          <c:y val="2.9518280913758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Analysis'!$B$1</c:f>
              <c:strCache>
                <c:ptCount val="1"/>
                <c:pt idx="0">
                  <c:v>Total Sales</c:v>
                </c:pt>
              </c:strCache>
            </c:strRef>
          </c:tx>
          <c:spPr>
            <a:ln w="28575" cap="rnd">
              <a:solidFill>
                <a:schemeClr val="accent1"/>
              </a:solidFill>
              <a:round/>
            </a:ln>
            <a:effectLst/>
          </c:spPr>
          <c:marker>
            <c:symbol val="none"/>
          </c:marker>
          <c:cat>
            <c:strRef>
              <c:f>'Monthly Analysis'!$A$2:$A$8</c:f>
              <c:strCache>
                <c:ptCount val="6"/>
                <c:pt idx="0">
                  <c:v>Jan</c:v>
                </c:pt>
                <c:pt idx="1">
                  <c:v>Feb</c:v>
                </c:pt>
                <c:pt idx="2">
                  <c:v>Mar</c:v>
                </c:pt>
                <c:pt idx="3">
                  <c:v>Apr</c:v>
                </c:pt>
                <c:pt idx="4">
                  <c:v>May</c:v>
                </c:pt>
                <c:pt idx="5">
                  <c:v>Jun</c:v>
                </c:pt>
              </c:strCache>
            </c:strRef>
          </c:cat>
          <c:val>
            <c:numRef>
              <c:f>'Monthly Analysis'!$B$2:$B$8</c:f>
              <c:numCache>
                <c:formatCode>[$₦-46A]#,##0.00</c:formatCode>
                <c:ptCount val="6"/>
                <c:pt idx="0">
                  <c:v>27950000</c:v>
                </c:pt>
                <c:pt idx="1">
                  <c:v>29270000</c:v>
                </c:pt>
                <c:pt idx="2">
                  <c:v>17985000</c:v>
                </c:pt>
                <c:pt idx="3">
                  <c:v>10235000</c:v>
                </c:pt>
                <c:pt idx="4">
                  <c:v>8920000</c:v>
                </c:pt>
                <c:pt idx="5">
                  <c:v>5865000</c:v>
                </c:pt>
              </c:numCache>
            </c:numRef>
          </c:val>
          <c:smooth val="0"/>
          <c:extLst>
            <c:ext xmlns:c16="http://schemas.microsoft.com/office/drawing/2014/chart" uri="{C3380CC4-5D6E-409C-BE32-E72D297353CC}">
              <c16:uniqueId val="{00000000-1086-47A4-BF47-EF6DA5DA28C0}"/>
            </c:ext>
          </c:extLst>
        </c:ser>
        <c:ser>
          <c:idx val="1"/>
          <c:order val="1"/>
          <c:tx>
            <c:strRef>
              <c:f>'Monthly Analysis'!$C$1</c:f>
              <c:strCache>
                <c:ptCount val="1"/>
                <c:pt idx="0">
                  <c:v>Total Profit</c:v>
                </c:pt>
              </c:strCache>
            </c:strRef>
          </c:tx>
          <c:spPr>
            <a:ln w="28575" cap="rnd">
              <a:solidFill>
                <a:schemeClr val="accent2"/>
              </a:solidFill>
              <a:round/>
            </a:ln>
            <a:effectLst/>
          </c:spPr>
          <c:marker>
            <c:symbol val="none"/>
          </c:marker>
          <c:cat>
            <c:strRef>
              <c:f>'Monthly Analysis'!$A$2:$A$8</c:f>
              <c:strCache>
                <c:ptCount val="6"/>
                <c:pt idx="0">
                  <c:v>Jan</c:v>
                </c:pt>
                <c:pt idx="1">
                  <c:v>Feb</c:v>
                </c:pt>
                <c:pt idx="2">
                  <c:v>Mar</c:v>
                </c:pt>
                <c:pt idx="3">
                  <c:v>Apr</c:v>
                </c:pt>
                <c:pt idx="4">
                  <c:v>May</c:v>
                </c:pt>
                <c:pt idx="5">
                  <c:v>Jun</c:v>
                </c:pt>
              </c:strCache>
            </c:strRef>
          </c:cat>
          <c:val>
            <c:numRef>
              <c:f>'Monthly Analysis'!$C$2:$C$8</c:f>
              <c:numCache>
                <c:formatCode>[$₦-46A]#,##0.00</c:formatCode>
                <c:ptCount val="6"/>
                <c:pt idx="0">
                  <c:v>27273164</c:v>
                </c:pt>
                <c:pt idx="1">
                  <c:v>28212740</c:v>
                </c:pt>
                <c:pt idx="2">
                  <c:v>17241442</c:v>
                </c:pt>
                <c:pt idx="3">
                  <c:v>9630255</c:v>
                </c:pt>
                <c:pt idx="4">
                  <c:v>8477327</c:v>
                </c:pt>
                <c:pt idx="5">
                  <c:v>5645608</c:v>
                </c:pt>
              </c:numCache>
            </c:numRef>
          </c:val>
          <c:smooth val="0"/>
          <c:extLst>
            <c:ext xmlns:c16="http://schemas.microsoft.com/office/drawing/2014/chart" uri="{C3380CC4-5D6E-409C-BE32-E72D297353CC}">
              <c16:uniqueId val="{00000001-1086-47A4-BF47-EF6DA5DA28C0}"/>
            </c:ext>
          </c:extLst>
        </c:ser>
        <c:dLbls>
          <c:dLblPos val="t"/>
          <c:showLegendKey val="0"/>
          <c:showVal val="0"/>
          <c:showCatName val="0"/>
          <c:showSerName val="0"/>
          <c:showPercent val="0"/>
          <c:showBubbleSize val="0"/>
        </c:dLbls>
        <c:smooth val="0"/>
        <c:axId val="427622096"/>
        <c:axId val="716880464"/>
      </c:lineChart>
      <c:catAx>
        <c:axId val="42762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880464"/>
        <c:crosses val="autoZero"/>
        <c:auto val="1"/>
        <c:lblAlgn val="ctr"/>
        <c:lblOffset val="100"/>
        <c:noMultiLvlLbl val="0"/>
      </c:catAx>
      <c:valAx>
        <c:axId val="716880464"/>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2762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[Imran's_HP_Sales_Dashboard.xlsx]Product Regional Analysis!PivotTable5</c:name>
    <c:fmtId val="1"/>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GB"/>
              <a:t>Total Profit by Product and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0.00,,&quot;M&quot;" sourceLinked="0"/>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Regional Analysis'!$B$1:$B$2</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M&quot;" sourceLinked="0"/>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Regional Analysis'!$A$3:$A$9</c:f>
              <c:strCache>
                <c:ptCount val="6"/>
                <c:pt idx="0">
                  <c:v>Headset</c:v>
                </c:pt>
                <c:pt idx="1">
                  <c:v>Keyboard</c:v>
                </c:pt>
                <c:pt idx="2">
                  <c:v>Laptop</c:v>
                </c:pt>
                <c:pt idx="3">
                  <c:v>Monitor</c:v>
                </c:pt>
                <c:pt idx="4">
                  <c:v>Mouse</c:v>
                </c:pt>
                <c:pt idx="5">
                  <c:v>Printer</c:v>
                </c:pt>
              </c:strCache>
            </c:strRef>
          </c:cat>
          <c:val>
            <c:numRef>
              <c:f>'Product Regional Analysis'!$B$3:$B$9</c:f>
              <c:numCache>
                <c:formatCode>[$₦-46A]#,##0.00</c:formatCode>
                <c:ptCount val="6"/>
                <c:pt idx="0">
                  <c:v>7107109</c:v>
                </c:pt>
                <c:pt idx="1">
                  <c:v>63206</c:v>
                </c:pt>
                <c:pt idx="2">
                  <c:v>4089734</c:v>
                </c:pt>
                <c:pt idx="3">
                  <c:v>4901184</c:v>
                </c:pt>
                <c:pt idx="4">
                  <c:v>2712875</c:v>
                </c:pt>
                <c:pt idx="5">
                  <c:v>9399049</c:v>
                </c:pt>
              </c:numCache>
            </c:numRef>
          </c:val>
          <c:extLst>
            <c:ext xmlns:c16="http://schemas.microsoft.com/office/drawing/2014/chart" uri="{C3380CC4-5D6E-409C-BE32-E72D297353CC}">
              <c16:uniqueId val="{00000000-F800-41E2-A31D-0CD1B7E887E8}"/>
            </c:ext>
          </c:extLst>
        </c:ser>
        <c:ser>
          <c:idx val="1"/>
          <c:order val="1"/>
          <c:tx>
            <c:strRef>
              <c:f>'Product Regional Analysis'!$C$1:$C$2</c:f>
              <c:strCache>
                <c:ptCount val="1"/>
                <c:pt idx="0">
                  <c:v>North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M&quot;" sourceLinked="0"/>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Regional Analysis'!$A$3:$A$9</c:f>
              <c:strCache>
                <c:ptCount val="6"/>
                <c:pt idx="0">
                  <c:v>Headset</c:v>
                </c:pt>
                <c:pt idx="1">
                  <c:v>Keyboard</c:v>
                </c:pt>
                <c:pt idx="2">
                  <c:v>Laptop</c:v>
                </c:pt>
                <c:pt idx="3">
                  <c:v>Monitor</c:v>
                </c:pt>
                <c:pt idx="4">
                  <c:v>Mouse</c:v>
                </c:pt>
                <c:pt idx="5">
                  <c:v>Printer</c:v>
                </c:pt>
              </c:strCache>
            </c:strRef>
          </c:cat>
          <c:val>
            <c:numRef>
              <c:f>'Product Regional Analysis'!$C$3:$C$9</c:f>
              <c:numCache>
                <c:formatCode>[$₦-46A]#,##0.00</c:formatCode>
                <c:ptCount val="6"/>
                <c:pt idx="0">
                  <c:v>1225154</c:v>
                </c:pt>
                <c:pt idx="1">
                  <c:v>6644538</c:v>
                </c:pt>
                <c:pt idx="2">
                  <c:v>5929116</c:v>
                </c:pt>
                <c:pt idx="3">
                  <c:v>1336248</c:v>
                </c:pt>
                <c:pt idx="4">
                  <c:v>9684276</c:v>
                </c:pt>
                <c:pt idx="5">
                  <c:v>258377</c:v>
                </c:pt>
              </c:numCache>
            </c:numRef>
          </c:val>
          <c:extLst>
            <c:ext xmlns:c16="http://schemas.microsoft.com/office/drawing/2014/chart" uri="{C3380CC4-5D6E-409C-BE32-E72D297353CC}">
              <c16:uniqueId val="{00000008-6F88-44E1-B74F-5C9BFFC89634}"/>
            </c:ext>
          </c:extLst>
        </c:ser>
        <c:ser>
          <c:idx val="2"/>
          <c:order val="2"/>
          <c:tx>
            <c:strRef>
              <c:f>'Product Regional Analysis'!$D$1:$D$2</c:f>
              <c:strCache>
                <c:ptCount val="1"/>
                <c:pt idx="0">
                  <c:v>South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M&quot;" sourceLinked="0"/>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Regional Analysis'!$A$3:$A$9</c:f>
              <c:strCache>
                <c:ptCount val="6"/>
                <c:pt idx="0">
                  <c:v>Headset</c:v>
                </c:pt>
                <c:pt idx="1">
                  <c:v>Keyboard</c:v>
                </c:pt>
                <c:pt idx="2">
                  <c:v>Laptop</c:v>
                </c:pt>
                <c:pt idx="3">
                  <c:v>Monitor</c:v>
                </c:pt>
                <c:pt idx="4">
                  <c:v>Mouse</c:v>
                </c:pt>
                <c:pt idx="5">
                  <c:v>Printer</c:v>
                </c:pt>
              </c:strCache>
            </c:strRef>
          </c:cat>
          <c:val>
            <c:numRef>
              <c:f>'Product Regional Analysis'!$D$3:$D$9</c:f>
              <c:numCache>
                <c:formatCode>[$₦-46A]#,##0.00</c:formatCode>
                <c:ptCount val="6"/>
                <c:pt idx="0">
                  <c:v>9219585</c:v>
                </c:pt>
                <c:pt idx="1">
                  <c:v>4270901</c:v>
                </c:pt>
                <c:pt idx="2">
                  <c:v>232952</c:v>
                </c:pt>
                <c:pt idx="3">
                  <c:v>3240972</c:v>
                </c:pt>
                <c:pt idx="4">
                  <c:v>102849</c:v>
                </c:pt>
                <c:pt idx="5">
                  <c:v>4402713</c:v>
                </c:pt>
              </c:numCache>
            </c:numRef>
          </c:val>
          <c:extLst>
            <c:ext xmlns:c16="http://schemas.microsoft.com/office/drawing/2014/chart" uri="{C3380CC4-5D6E-409C-BE32-E72D297353CC}">
              <c16:uniqueId val="{00000009-6F88-44E1-B74F-5C9BFFC89634}"/>
            </c:ext>
          </c:extLst>
        </c:ser>
        <c:ser>
          <c:idx val="3"/>
          <c:order val="3"/>
          <c:tx>
            <c:strRef>
              <c:f>'Product Regional Analysis'!$E$1:$E$2</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0.00,,&quot;M&quot;" sourceLinked="0"/>
            <c:spPr>
              <a:noFill/>
              <a:ln>
                <a:noFill/>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Regional Analysis'!$A$3:$A$9</c:f>
              <c:strCache>
                <c:ptCount val="6"/>
                <c:pt idx="0">
                  <c:v>Headset</c:v>
                </c:pt>
                <c:pt idx="1">
                  <c:v>Keyboard</c:v>
                </c:pt>
                <c:pt idx="2">
                  <c:v>Laptop</c:v>
                </c:pt>
                <c:pt idx="3">
                  <c:v>Monitor</c:v>
                </c:pt>
                <c:pt idx="4">
                  <c:v>Mouse</c:v>
                </c:pt>
                <c:pt idx="5">
                  <c:v>Printer</c:v>
                </c:pt>
              </c:strCache>
            </c:strRef>
          </c:cat>
          <c:val>
            <c:numRef>
              <c:f>'Product Regional Analysis'!$E$3:$E$9</c:f>
              <c:numCache>
                <c:formatCode>[$₦-46A]#,##0.00</c:formatCode>
                <c:ptCount val="6"/>
                <c:pt idx="0">
                  <c:v>1340028</c:v>
                </c:pt>
                <c:pt idx="1">
                  <c:v>1226717</c:v>
                </c:pt>
                <c:pt idx="2">
                  <c:v>3977590</c:v>
                </c:pt>
                <c:pt idx="3">
                  <c:v>3292413</c:v>
                </c:pt>
                <c:pt idx="4">
                  <c:v>8524200</c:v>
                </c:pt>
                <c:pt idx="5">
                  <c:v>3298750</c:v>
                </c:pt>
              </c:numCache>
            </c:numRef>
          </c:val>
          <c:extLst>
            <c:ext xmlns:c16="http://schemas.microsoft.com/office/drawing/2014/chart" uri="{C3380CC4-5D6E-409C-BE32-E72D297353CC}">
              <c16:uniqueId val="{0000000A-6F88-44E1-B74F-5C9BFFC89634}"/>
            </c:ext>
          </c:extLst>
        </c:ser>
        <c:dLbls>
          <c:dLblPos val="outEnd"/>
          <c:showLegendKey val="0"/>
          <c:showVal val="1"/>
          <c:showCatName val="0"/>
          <c:showSerName val="0"/>
          <c:showPercent val="0"/>
          <c:showBubbleSize val="0"/>
        </c:dLbls>
        <c:gapWidth val="100"/>
        <c:overlap val="-24"/>
        <c:axId val="831111568"/>
        <c:axId val="716856944"/>
      </c:barChart>
      <c:catAx>
        <c:axId val="8311115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6856944"/>
        <c:crosses val="autoZero"/>
        <c:auto val="1"/>
        <c:lblAlgn val="ctr"/>
        <c:lblOffset val="100"/>
        <c:noMultiLvlLbl val="0"/>
      </c:catAx>
      <c:valAx>
        <c:axId val="71685694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31111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lumOff val="50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320040</xdr:colOff>
      <xdr:row>27</xdr:row>
      <xdr:rowOff>30480</xdr:rowOff>
    </xdr:from>
    <xdr:to>
      <xdr:col>8</xdr:col>
      <xdr:colOff>15240</xdr:colOff>
      <xdr:row>46</xdr:row>
      <xdr:rowOff>38100</xdr:rowOff>
    </xdr:to>
    <xdr:graphicFrame macro="">
      <xdr:nvGraphicFramePr>
        <xdr:cNvPr id="2" name="Chart 1">
          <a:extLst>
            <a:ext uri="{FF2B5EF4-FFF2-40B4-BE49-F238E27FC236}">
              <a16:creationId xmlns:a16="http://schemas.microsoft.com/office/drawing/2014/main" id="{4597D265-BCFB-137A-CAA9-EDE38F7B9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441960</xdr:colOff>
      <xdr:row>10</xdr:row>
      <xdr:rowOff>144780</xdr:rowOff>
    </xdr:from>
    <xdr:to>
      <xdr:col>18</xdr:col>
      <xdr:colOff>389659</xdr:colOff>
      <xdr:row>26</xdr:row>
      <xdr:rowOff>175260</xdr:rowOff>
    </xdr:to>
    <xdr:graphicFrame macro="">
      <xdr:nvGraphicFramePr>
        <xdr:cNvPr id="3" name="Chart 1">
          <a:extLst>
            <a:ext uri="{FF2B5EF4-FFF2-40B4-BE49-F238E27FC236}">
              <a16:creationId xmlns:a16="http://schemas.microsoft.com/office/drawing/2014/main" id="{689171DE-C199-3638-3D76-5A55291D90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182880</xdr:colOff>
      <xdr:row>27</xdr:row>
      <xdr:rowOff>114300</xdr:rowOff>
    </xdr:from>
    <xdr:to>
      <xdr:col>18</xdr:col>
      <xdr:colOff>69273</xdr:colOff>
      <xdr:row>45</xdr:row>
      <xdr:rowOff>129540</xdr:rowOff>
    </xdr:to>
    <xdr:graphicFrame macro="">
      <xdr:nvGraphicFramePr>
        <xdr:cNvPr id="4" name="Chart 1">
          <a:extLst>
            <a:ext uri="{FF2B5EF4-FFF2-40B4-BE49-F238E27FC236}">
              <a16:creationId xmlns:a16="http://schemas.microsoft.com/office/drawing/2014/main" id="{6484F495-6AB3-7379-66E1-5E1ED29E2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53340</xdr:colOff>
      <xdr:row>47</xdr:row>
      <xdr:rowOff>83820</xdr:rowOff>
    </xdr:from>
    <xdr:to>
      <xdr:col>16</xdr:col>
      <xdr:colOff>373380</xdr:colOff>
      <xdr:row>63</xdr:row>
      <xdr:rowOff>137160</xdr:rowOff>
    </xdr:to>
    <xdr:graphicFrame macro="">
      <xdr:nvGraphicFramePr>
        <xdr:cNvPr id="5" name="Chart 1">
          <a:extLst>
            <a:ext uri="{FF2B5EF4-FFF2-40B4-BE49-F238E27FC236}">
              <a16:creationId xmlns:a16="http://schemas.microsoft.com/office/drawing/2014/main" id="{3E6AEB47-DD1E-FFAB-BA78-34D3E7BE6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47</xdr:row>
      <xdr:rowOff>53340</xdr:rowOff>
    </xdr:from>
    <xdr:to>
      <xdr:col>8</xdr:col>
      <xdr:colOff>68580</xdr:colOff>
      <xdr:row>64</xdr:row>
      <xdr:rowOff>7620</xdr:rowOff>
    </xdr:to>
    <xdr:graphicFrame macro="">
      <xdr:nvGraphicFramePr>
        <xdr:cNvPr id="6" name="Chart 1">
          <a:extLst>
            <a:ext uri="{FF2B5EF4-FFF2-40B4-BE49-F238E27FC236}">
              <a16:creationId xmlns:a16="http://schemas.microsoft.com/office/drawing/2014/main" id="{E357B287-791D-7F4D-96E8-687B97BE6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137160</xdr:colOff>
      <xdr:row>10</xdr:row>
      <xdr:rowOff>152400</xdr:rowOff>
    </xdr:from>
    <xdr:to>
      <xdr:col>2</xdr:col>
      <xdr:colOff>342900</xdr:colOff>
      <xdr:row>24</xdr:row>
      <xdr:rowOff>173355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3CC1EF0-F39B-52C3-8D55-D12CC601D0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7160" y="198120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457200</xdr:colOff>
      <xdr:row>10</xdr:row>
      <xdr:rowOff>152400</xdr:rowOff>
    </xdr:from>
    <xdr:to>
      <xdr:col>5</xdr:col>
      <xdr:colOff>457200</xdr:colOff>
      <xdr:row>24</xdr:row>
      <xdr:rowOff>173355</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A1B8B35C-85D6-8253-8F51-5F0D2A9F38A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2080260" y="198120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15240</xdr:colOff>
      <xdr:row>10</xdr:row>
      <xdr:rowOff>160020</xdr:rowOff>
    </xdr:from>
    <xdr:to>
      <xdr:col>8</xdr:col>
      <xdr:colOff>289560</xdr:colOff>
      <xdr:row>25</xdr:row>
      <xdr:rowOff>5129</xdr:rowOff>
    </xdr:to>
    <mc:AlternateContent xmlns:mc="http://schemas.openxmlformats.org/markup-compatibility/2006" xmlns:a14="http://schemas.microsoft.com/office/drawing/2010/main">
      <mc:Choice Requires="a14">
        <xdr:graphicFrame macro="">
          <xdr:nvGraphicFramePr>
            <xdr:cNvPr id="9" name="Product">
              <a:extLst>
                <a:ext uri="{FF2B5EF4-FFF2-40B4-BE49-F238E27FC236}">
                  <a16:creationId xmlns:a16="http://schemas.microsoft.com/office/drawing/2014/main" id="{EE0F47EC-2F9B-B38F-EFF8-D8D764CCCE9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076700" y="1988820"/>
              <a:ext cx="1828800" cy="2581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160020</xdr:colOff>
      <xdr:row>0</xdr:row>
      <xdr:rowOff>175260</xdr:rowOff>
    </xdr:from>
    <xdr:to>
      <xdr:col>12</xdr:col>
      <xdr:colOff>51955</xdr:colOff>
      <xdr:row>4</xdr:row>
      <xdr:rowOff>152400</xdr:rowOff>
    </xdr:to>
    <xdr:sp macro="" textlink="">
      <xdr:nvSpPr>
        <xdr:cNvPr id="10" name="Rectangle: Rounded Corners 9">
          <a:extLst>
            <a:ext uri="{FF2B5EF4-FFF2-40B4-BE49-F238E27FC236}">
              <a16:creationId xmlns:a16="http://schemas.microsoft.com/office/drawing/2014/main" id="{EBCB7831-3D4B-CC34-8876-CB967430EBAB}"/>
            </a:ext>
          </a:extLst>
        </xdr:cNvPr>
        <xdr:cNvSpPr/>
      </xdr:nvSpPr>
      <xdr:spPr>
        <a:xfrm>
          <a:off x="2385406" y="175260"/>
          <a:ext cx="5684867" cy="704504"/>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3200"/>
            <a:t>HP Nigeria Jan-Jun 2025 Overview</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0.75011</cdr:x>
      <cdr:y>0.02257</cdr:y>
    </cdr:from>
    <cdr:to>
      <cdr:x>0.9839</cdr:x>
      <cdr:y>0.2196</cdr:y>
    </cdr:to>
    <cdr:sp macro="" textlink="">
      <cdr:nvSpPr>
        <cdr:cNvPr id="2" name="Rectangle 1">
          <a:extLst xmlns:a="http://schemas.openxmlformats.org/drawingml/2006/main">
            <a:ext uri="{FF2B5EF4-FFF2-40B4-BE49-F238E27FC236}">
              <a16:creationId xmlns:a16="http://schemas.microsoft.com/office/drawing/2014/main" id="{0D14B124-26AC-3B24-38E6-D97E43555281}"/>
            </a:ext>
          </a:extLst>
        </cdr:cNvPr>
        <cdr:cNvSpPr/>
      </cdr:nvSpPr>
      <cdr:spPr>
        <a:xfrm xmlns:a="http://schemas.openxmlformats.org/drawingml/2006/main">
          <a:off x="3446829" y="67975"/>
          <a:ext cx="1074271" cy="593396"/>
        </a:xfrm>
        <a:prstGeom xmlns:a="http://schemas.openxmlformats.org/drawingml/2006/main" prst="rect">
          <a:avLst/>
        </a:prstGeom>
        <a:solidFill xmlns:a="http://schemas.openxmlformats.org/drawingml/2006/main">
          <a:schemeClr val="bg2">
            <a:lumMod val="5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GB" sz="800">
              <a:solidFill>
                <a:schemeClr val="lt1"/>
              </a:solidFill>
              <a:effectLst/>
              <a:latin typeface="+mn-lt"/>
              <a:ea typeface="+mn-ea"/>
              <a:cs typeface="+mn-cs"/>
            </a:rPr>
            <a:t>Sales declined 79% from Jan to Jun 2025. Trend warrants further investigation.</a:t>
          </a:r>
          <a:endParaRPr lang="en-GB" sz="800">
            <a:effectLs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ṅѧṃєʟєśś™ ‏" refreshedDate="46153.012890046295" createdVersion="8" refreshedVersion="8" minRefreshableVersion="3" recordCount="120" xr:uid="{679D1B71-D211-48A4-9A55-F78615350030}">
  <cacheSource type="worksheet">
    <worksheetSource name="SalesData"/>
  </cacheSource>
  <cacheFields count="12">
    <cacheField name="Date" numFmtId="22">
      <sharedItems containsSemiMixedTypes="0" containsNonDate="0" containsDate="1" containsString="0" minDate="2025-01-02T00:00:00" maxDate="2025-06-30T00:00:00"/>
    </cacheField>
    <cacheField name="Month" numFmtId="22">
      <sharedItems count="6">
        <s v="Jan"/>
        <s v="Feb"/>
        <s v="Mar"/>
        <s v="Apr"/>
        <s v="May"/>
        <s v="Jun"/>
      </sharedItems>
    </cacheField>
    <cacheField name="Region" numFmtId="0">
      <sharedItems count="4">
        <s v="East"/>
        <s v="South"/>
        <s v="West"/>
        <s v="North"/>
      </sharedItems>
    </cacheField>
    <cacheField name="Salesperson" numFmtId="0">
      <sharedItems count="6">
        <s v="Bola"/>
        <s v="Ada"/>
        <s v="Musa"/>
        <s v="Chidi"/>
        <s v="Grace"/>
        <s v="Efe"/>
      </sharedItems>
    </cacheField>
    <cacheField name="Product" numFmtId="0">
      <sharedItems count="6">
        <s v="Laptop"/>
        <s v="Monitor"/>
        <s v="Keyboard"/>
        <s v="Headset"/>
        <s v="Mouse"/>
        <s v="Printer"/>
      </sharedItems>
    </cacheField>
    <cacheField name="Cost" numFmtId="165">
      <sharedItems containsSemiMixedTypes="0" containsString="0" containsNumber="1" containsInteger="1" minValue="17" maxValue="21000"/>
    </cacheField>
    <cacheField name="Total Cost" numFmtId="165">
      <sharedItems containsSemiMixedTypes="0" containsString="0" containsNumber="1" containsInteger="1" minValue="34" maxValue="231000"/>
    </cacheField>
    <cacheField name="Units Sold" numFmtId="0">
      <sharedItems containsSemiMixedTypes="0" containsString="0" containsNumber="1" containsInteger="1" minValue="1" maxValue="19"/>
    </cacheField>
    <cacheField name="Unit Price" numFmtId="165">
      <sharedItems containsSemiMixedTypes="0" containsString="0" containsNumber="1" containsInteger="1" minValue="5000" maxValue="350000"/>
    </cacheField>
    <cacheField name="Total Sales" numFmtId="165">
      <sharedItems containsSemiMixedTypes="0" containsString="0" containsNumber="1" containsInteger="1" minValue="5000" maxValue="6650000"/>
    </cacheField>
    <cacheField name="Profit" numFmtId="165">
      <sharedItems containsSemiMixedTypes="0" containsString="0" containsNumber="1" containsInteger="1" minValue="-16000" maxValue="349367"/>
    </cacheField>
    <cacheField name="Total Profit" numFmtId="165">
      <sharedItems containsSemiMixedTypes="0" containsString="0" containsNumber="1" containsInteger="1" minValue="-176000" maxValue="6602500"/>
    </cacheField>
  </cacheFields>
  <extLst>
    <ext xmlns:x14="http://schemas.microsoft.com/office/spreadsheetml/2009/9/main" uri="{725AE2AE-9491-48be-B2B4-4EB974FC3084}">
      <x14:pivotCacheDefinition pivotCacheId="1039518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d v="2025-01-21T00:00:00"/>
    <x v="0"/>
    <x v="0"/>
    <x v="0"/>
    <x v="0"/>
    <n v="2582"/>
    <n v="23238"/>
    <n v="9"/>
    <n v="350000"/>
    <n v="3150000"/>
    <n v="347418"/>
    <n v="3126762"/>
  </r>
  <r>
    <d v="2025-01-18T00:00:00"/>
    <x v="0"/>
    <x v="1"/>
    <x v="1"/>
    <x v="1"/>
    <n v="1932"/>
    <n v="7728"/>
    <n v="4"/>
    <n v="120000"/>
    <n v="480000"/>
    <n v="118068"/>
    <n v="472272"/>
  </r>
  <r>
    <d v="2025-01-15T00:00:00"/>
    <x v="0"/>
    <x v="2"/>
    <x v="2"/>
    <x v="2"/>
    <n v="1282"/>
    <n v="17948"/>
    <n v="14"/>
    <n v="15000"/>
    <n v="210000"/>
    <n v="13718"/>
    <n v="192052"/>
  </r>
  <r>
    <d v="2025-01-15T00:00:00"/>
    <x v="0"/>
    <x v="3"/>
    <x v="0"/>
    <x v="1"/>
    <n v="633"/>
    <n v="1266"/>
    <n v="2"/>
    <n v="80000"/>
    <n v="160000"/>
    <n v="79367"/>
    <n v="158734"/>
  </r>
  <r>
    <d v="2025-01-15T00:00:00"/>
    <x v="0"/>
    <x v="1"/>
    <x v="3"/>
    <x v="3"/>
    <n v="17"/>
    <n v="85"/>
    <n v="5"/>
    <n v="10000"/>
    <n v="50000"/>
    <n v="9983"/>
    <n v="49915"/>
  </r>
  <r>
    <d v="2025-01-15T00:00:00"/>
    <x v="0"/>
    <x v="3"/>
    <x v="0"/>
    <x v="2"/>
    <n v="667"/>
    <n v="8671"/>
    <n v="13"/>
    <n v="350000"/>
    <n v="4550000"/>
    <n v="349333"/>
    <n v="4541329"/>
  </r>
  <r>
    <d v="2025-01-02T00:00:00"/>
    <x v="0"/>
    <x v="0"/>
    <x v="3"/>
    <x v="3"/>
    <n v="1000"/>
    <n v="7000"/>
    <n v="7"/>
    <n v="350000"/>
    <n v="2450000"/>
    <n v="349000"/>
    <n v="2443000"/>
  </r>
  <r>
    <d v="2025-01-21T00:00:00"/>
    <x v="0"/>
    <x v="0"/>
    <x v="3"/>
    <x v="1"/>
    <n v="1000"/>
    <n v="3000"/>
    <n v="3"/>
    <n v="350000"/>
    <n v="1050000"/>
    <n v="349000"/>
    <n v="1047000"/>
  </r>
  <r>
    <d v="2025-01-14T00:00:00"/>
    <x v="0"/>
    <x v="3"/>
    <x v="3"/>
    <x v="0"/>
    <n v="1300"/>
    <n v="23400"/>
    <n v="18"/>
    <n v="80000"/>
    <n v="1440000"/>
    <n v="78700"/>
    <n v="1416600"/>
  </r>
  <r>
    <d v="2025-01-08T00:00:00"/>
    <x v="0"/>
    <x v="1"/>
    <x v="2"/>
    <x v="3"/>
    <n v="1500"/>
    <n v="24000"/>
    <n v="16"/>
    <n v="350000"/>
    <n v="5600000"/>
    <n v="348500"/>
    <n v="5576000"/>
  </r>
  <r>
    <d v="2025-01-28T00:00:00"/>
    <x v="0"/>
    <x v="3"/>
    <x v="2"/>
    <x v="1"/>
    <n v="1500"/>
    <n v="12000"/>
    <n v="8"/>
    <n v="10000"/>
    <n v="80000"/>
    <n v="8500"/>
    <n v="68000"/>
  </r>
  <r>
    <d v="2025-01-09T00:00:00"/>
    <x v="0"/>
    <x v="2"/>
    <x v="1"/>
    <x v="4"/>
    <n v="2000"/>
    <n v="2000"/>
    <n v="1"/>
    <n v="80000"/>
    <n v="80000"/>
    <n v="78000"/>
    <n v="78000"/>
  </r>
  <r>
    <d v="2025-01-05T00:00:00"/>
    <x v="0"/>
    <x v="1"/>
    <x v="2"/>
    <x v="1"/>
    <n v="2100"/>
    <n v="27300"/>
    <n v="13"/>
    <n v="5000"/>
    <n v="65000"/>
    <n v="2900"/>
    <n v="37700"/>
  </r>
  <r>
    <d v="2025-01-24T00:00:00"/>
    <x v="0"/>
    <x v="3"/>
    <x v="4"/>
    <x v="0"/>
    <n v="2100"/>
    <n v="25200"/>
    <n v="12"/>
    <n v="15000"/>
    <n v="180000"/>
    <n v="12900"/>
    <n v="154800"/>
  </r>
  <r>
    <d v="2025-01-12T00:00:00"/>
    <x v="0"/>
    <x v="2"/>
    <x v="2"/>
    <x v="0"/>
    <n v="2500"/>
    <n v="45000"/>
    <n v="18"/>
    <n v="80000"/>
    <n v="1440000"/>
    <n v="77500"/>
    <n v="1395000"/>
  </r>
  <r>
    <d v="2025-01-04T00:00:00"/>
    <x v="0"/>
    <x v="0"/>
    <x v="1"/>
    <x v="4"/>
    <n v="3000"/>
    <n v="9000"/>
    <n v="3"/>
    <n v="15000"/>
    <n v="45000"/>
    <n v="12000"/>
    <n v="36000"/>
  </r>
  <r>
    <d v="2025-01-22T00:00:00"/>
    <x v="0"/>
    <x v="2"/>
    <x v="5"/>
    <x v="4"/>
    <n v="3000"/>
    <n v="48000"/>
    <n v="16"/>
    <n v="5000"/>
    <n v="80000"/>
    <n v="2000"/>
    <n v="32000"/>
  </r>
  <r>
    <d v="2025-01-09T00:00:00"/>
    <x v="0"/>
    <x v="3"/>
    <x v="5"/>
    <x v="2"/>
    <n v="4000"/>
    <n v="64000"/>
    <n v="16"/>
    <n v="80000"/>
    <n v="1280000"/>
    <n v="76000"/>
    <n v="1216000"/>
  </r>
  <r>
    <d v="2025-01-14T00:00:00"/>
    <x v="0"/>
    <x v="3"/>
    <x v="2"/>
    <x v="0"/>
    <n v="4000"/>
    <n v="76000"/>
    <n v="19"/>
    <n v="120000"/>
    <n v="2280000"/>
    <n v="116000"/>
    <n v="2204000"/>
  </r>
  <r>
    <d v="2025-01-02T00:00:00"/>
    <x v="0"/>
    <x v="1"/>
    <x v="3"/>
    <x v="5"/>
    <n v="21000"/>
    <n v="168000"/>
    <n v="8"/>
    <n v="350000"/>
    <n v="2800000"/>
    <n v="329000"/>
    <n v="2632000"/>
  </r>
  <r>
    <d v="2025-01-21T00:00:00"/>
    <x v="0"/>
    <x v="2"/>
    <x v="2"/>
    <x v="2"/>
    <n v="21000"/>
    <n v="84000"/>
    <n v="4"/>
    <n v="120000"/>
    <n v="480000"/>
    <n v="99000"/>
    <n v="396000"/>
  </r>
  <r>
    <d v="2025-02-22T00:00:00"/>
    <x v="1"/>
    <x v="1"/>
    <x v="1"/>
    <x v="5"/>
    <n v="8429"/>
    <n v="126435"/>
    <n v="15"/>
    <n v="15000"/>
    <n v="225000"/>
    <n v="6571"/>
    <n v="98565"/>
  </r>
  <r>
    <d v="2025-02-23T00:00:00"/>
    <x v="1"/>
    <x v="3"/>
    <x v="5"/>
    <x v="4"/>
    <n v="8429"/>
    <n v="151722"/>
    <n v="18"/>
    <n v="120000"/>
    <n v="2160000"/>
    <n v="111571"/>
    <n v="2008278"/>
  </r>
  <r>
    <d v="2025-02-22T00:00:00"/>
    <x v="1"/>
    <x v="2"/>
    <x v="1"/>
    <x v="3"/>
    <n v="7779"/>
    <n v="93348"/>
    <n v="12"/>
    <n v="80000"/>
    <n v="960000"/>
    <n v="72221"/>
    <n v="866652"/>
  </r>
  <r>
    <d v="2025-02-22T00:00:00"/>
    <x v="1"/>
    <x v="3"/>
    <x v="2"/>
    <x v="0"/>
    <n v="7130"/>
    <n v="85560"/>
    <n v="12"/>
    <n v="5000"/>
    <n v="60000"/>
    <n v="-2130"/>
    <n v="-25560"/>
  </r>
  <r>
    <d v="2025-02-20T00:00:00"/>
    <x v="1"/>
    <x v="0"/>
    <x v="0"/>
    <x v="1"/>
    <n v="6480"/>
    <n v="45360"/>
    <n v="7"/>
    <n v="350000"/>
    <n v="2450000"/>
    <n v="343520"/>
    <n v="2404640"/>
  </r>
  <r>
    <d v="2025-02-20T00:00:00"/>
    <x v="1"/>
    <x v="0"/>
    <x v="3"/>
    <x v="1"/>
    <n v="5830"/>
    <n v="23320"/>
    <n v="4"/>
    <n v="350000"/>
    <n v="1400000"/>
    <n v="344170"/>
    <n v="1376680"/>
  </r>
  <r>
    <d v="2025-02-19T00:00:00"/>
    <x v="1"/>
    <x v="2"/>
    <x v="1"/>
    <x v="3"/>
    <n v="5181"/>
    <n v="56991"/>
    <n v="11"/>
    <n v="15000"/>
    <n v="165000"/>
    <n v="9819"/>
    <n v="108009"/>
  </r>
  <r>
    <d v="2025-02-18T00:00:00"/>
    <x v="1"/>
    <x v="3"/>
    <x v="3"/>
    <x v="3"/>
    <n v="4531"/>
    <n v="18124"/>
    <n v="4"/>
    <n v="10000"/>
    <n v="40000"/>
    <n v="5469"/>
    <n v="21876"/>
  </r>
  <r>
    <d v="2025-02-17T00:00:00"/>
    <x v="1"/>
    <x v="0"/>
    <x v="2"/>
    <x v="5"/>
    <n v="3881"/>
    <n v="50453"/>
    <n v="13"/>
    <n v="350000"/>
    <n v="4550000"/>
    <n v="346119"/>
    <n v="4499547"/>
  </r>
  <r>
    <d v="2025-02-17T00:00:00"/>
    <x v="1"/>
    <x v="3"/>
    <x v="2"/>
    <x v="1"/>
    <n v="3232"/>
    <n v="51712"/>
    <n v="16"/>
    <n v="10000"/>
    <n v="160000"/>
    <n v="6768"/>
    <n v="108288"/>
  </r>
  <r>
    <d v="2025-02-14T00:00:00"/>
    <x v="1"/>
    <x v="0"/>
    <x v="3"/>
    <x v="4"/>
    <n v="2582"/>
    <n v="49058"/>
    <n v="19"/>
    <n v="80000"/>
    <n v="1520000"/>
    <n v="77418"/>
    <n v="1470942"/>
  </r>
  <r>
    <d v="2025-02-13T00:00:00"/>
    <x v="1"/>
    <x v="2"/>
    <x v="1"/>
    <x v="5"/>
    <n v="1932"/>
    <n v="5796"/>
    <n v="3"/>
    <n v="120000"/>
    <n v="360000"/>
    <n v="118068"/>
    <n v="354204"/>
  </r>
  <r>
    <d v="2025-02-10T00:00:00"/>
    <x v="1"/>
    <x v="0"/>
    <x v="2"/>
    <x v="4"/>
    <n v="1282"/>
    <n v="12820"/>
    <n v="10"/>
    <n v="80000"/>
    <n v="800000"/>
    <n v="78718"/>
    <n v="787180"/>
  </r>
  <r>
    <d v="2025-02-10T00:00:00"/>
    <x v="1"/>
    <x v="1"/>
    <x v="0"/>
    <x v="5"/>
    <n v="633"/>
    <n v="633"/>
    <n v="1"/>
    <n v="80000"/>
    <n v="80000"/>
    <n v="79367"/>
    <n v="79367"/>
  </r>
  <r>
    <d v="2025-02-09T00:00:00"/>
    <x v="1"/>
    <x v="2"/>
    <x v="2"/>
    <x v="5"/>
    <n v="17"/>
    <n v="289"/>
    <n v="17"/>
    <n v="15000"/>
    <n v="255000"/>
    <n v="14983"/>
    <n v="254711"/>
  </r>
  <r>
    <d v="2025-02-07T00:00:00"/>
    <x v="1"/>
    <x v="0"/>
    <x v="5"/>
    <x v="5"/>
    <n v="667"/>
    <n v="11339"/>
    <n v="17"/>
    <n v="15000"/>
    <n v="255000"/>
    <n v="14333"/>
    <n v="243661"/>
  </r>
  <r>
    <d v="2025-02-23T00:00:00"/>
    <x v="1"/>
    <x v="1"/>
    <x v="5"/>
    <x v="1"/>
    <n v="1000"/>
    <n v="11000"/>
    <n v="11"/>
    <n v="120000"/>
    <n v="1320000"/>
    <n v="119000"/>
    <n v="1309000"/>
  </r>
  <r>
    <d v="2025-02-04T00:00:00"/>
    <x v="1"/>
    <x v="2"/>
    <x v="4"/>
    <x v="1"/>
    <n v="1300"/>
    <n v="15600"/>
    <n v="12"/>
    <n v="15000"/>
    <n v="180000"/>
    <n v="13700"/>
    <n v="164400"/>
  </r>
  <r>
    <d v="2025-02-02T00:00:00"/>
    <x v="1"/>
    <x v="0"/>
    <x v="3"/>
    <x v="4"/>
    <n v="2000"/>
    <n v="6000"/>
    <n v="3"/>
    <n v="15000"/>
    <n v="45000"/>
    <n v="13000"/>
    <n v="39000"/>
  </r>
  <r>
    <d v="2025-02-28T00:00:00"/>
    <x v="1"/>
    <x v="0"/>
    <x v="5"/>
    <x v="0"/>
    <n v="2100"/>
    <n v="25200"/>
    <n v="12"/>
    <n v="80000"/>
    <n v="960000"/>
    <n v="77900"/>
    <n v="934800"/>
  </r>
  <r>
    <d v="2025-02-04T00:00:00"/>
    <x v="1"/>
    <x v="2"/>
    <x v="5"/>
    <x v="4"/>
    <n v="2500"/>
    <n v="47500"/>
    <n v="19"/>
    <n v="350000"/>
    <n v="6650000"/>
    <n v="347500"/>
    <n v="6602500"/>
  </r>
  <r>
    <d v="2025-02-27T00:00:00"/>
    <x v="1"/>
    <x v="2"/>
    <x v="3"/>
    <x v="0"/>
    <n v="3000"/>
    <n v="51000"/>
    <n v="17"/>
    <n v="120000"/>
    <n v="2040000"/>
    <n v="117000"/>
    <n v="1989000"/>
  </r>
  <r>
    <d v="2025-02-02T00:00:00"/>
    <x v="1"/>
    <x v="1"/>
    <x v="3"/>
    <x v="4"/>
    <n v="4000"/>
    <n v="12000"/>
    <n v="3"/>
    <n v="5000"/>
    <n v="15000"/>
    <n v="1000"/>
    <n v="3000"/>
  </r>
  <r>
    <d v="2025-02-06T00:00:00"/>
    <x v="1"/>
    <x v="2"/>
    <x v="0"/>
    <x v="1"/>
    <n v="4000"/>
    <n v="64000"/>
    <n v="16"/>
    <n v="120000"/>
    <n v="1920000"/>
    <n v="116000"/>
    <n v="1856000"/>
  </r>
  <r>
    <d v="2025-02-24T00:00:00"/>
    <x v="1"/>
    <x v="2"/>
    <x v="5"/>
    <x v="1"/>
    <n v="21000"/>
    <n v="42000"/>
    <n v="2"/>
    <n v="350000"/>
    <n v="700000"/>
    <n v="329000"/>
    <n v="658000"/>
  </r>
  <r>
    <d v="2025-03-22T00:00:00"/>
    <x v="2"/>
    <x v="3"/>
    <x v="3"/>
    <x v="3"/>
    <n v="2582"/>
    <n v="49058"/>
    <n v="19"/>
    <n v="5000"/>
    <n v="95000"/>
    <n v="2418"/>
    <n v="45942"/>
  </r>
  <r>
    <d v="2025-03-22T00:00:00"/>
    <x v="2"/>
    <x v="1"/>
    <x v="4"/>
    <x v="0"/>
    <n v="1932"/>
    <n v="17388"/>
    <n v="9"/>
    <n v="5000"/>
    <n v="45000"/>
    <n v="3068"/>
    <n v="27612"/>
  </r>
  <r>
    <d v="2025-03-16T00:00:00"/>
    <x v="2"/>
    <x v="0"/>
    <x v="3"/>
    <x v="4"/>
    <n v="1282"/>
    <n v="5128"/>
    <n v="4"/>
    <n v="80000"/>
    <n v="320000"/>
    <n v="78718"/>
    <n v="314872"/>
  </r>
  <r>
    <d v="2025-03-14T00:00:00"/>
    <x v="2"/>
    <x v="1"/>
    <x v="5"/>
    <x v="2"/>
    <n v="633"/>
    <n v="4431"/>
    <n v="7"/>
    <n v="350000"/>
    <n v="2450000"/>
    <n v="349367"/>
    <n v="2445569"/>
  </r>
  <r>
    <d v="2025-03-13T00:00:00"/>
    <x v="2"/>
    <x v="3"/>
    <x v="2"/>
    <x v="2"/>
    <n v="17"/>
    <n v="85"/>
    <n v="5"/>
    <n v="15000"/>
    <n v="75000"/>
    <n v="14983"/>
    <n v="74915"/>
  </r>
  <r>
    <d v="2025-03-13T00:00:00"/>
    <x v="2"/>
    <x v="1"/>
    <x v="5"/>
    <x v="2"/>
    <n v="667"/>
    <n v="2668"/>
    <n v="4"/>
    <n v="80000"/>
    <n v="320000"/>
    <n v="79333"/>
    <n v="317332"/>
  </r>
  <r>
    <d v="2025-03-23T00:00:00"/>
    <x v="2"/>
    <x v="0"/>
    <x v="1"/>
    <x v="1"/>
    <n v="1000"/>
    <n v="1000"/>
    <n v="1"/>
    <n v="10000"/>
    <n v="10000"/>
    <n v="9000"/>
    <n v="9000"/>
  </r>
  <r>
    <d v="2025-03-06T00:00:00"/>
    <x v="2"/>
    <x v="0"/>
    <x v="4"/>
    <x v="3"/>
    <n v="1300"/>
    <n v="15600"/>
    <n v="12"/>
    <n v="120000"/>
    <n v="1440000"/>
    <n v="118700"/>
    <n v="1424400"/>
  </r>
  <r>
    <d v="2025-03-31T00:00:00"/>
    <x v="2"/>
    <x v="1"/>
    <x v="0"/>
    <x v="5"/>
    <n v="1300"/>
    <n v="16900"/>
    <n v="13"/>
    <n v="15000"/>
    <n v="195000"/>
    <n v="13700"/>
    <n v="178100"/>
  </r>
  <r>
    <d v="2025-03-01T00:00:00"/>
    <x v="2"/>
    <x v="1"/>
    <x v="0"/>
    <x v="0"/>
    <n v="1500"/>
    <n v="24000"/>
    <n v="16"/>
    <n v="5000"/>
    <n v="80000"/>
    <n v="3500"/>
    <n v="56000"/>
  </r>
  <r>
    <d v="2025-03-29T00:00:00"/>
    <x v="2"/>
    <x v="0"/>
    <x v="3"/>
    <x v="5"/>
    <n v="1500"/>
    <n v="28500"/>
    <n v="19"/>
    <n v="120000"/>
    <n v="2280000"/>
    <n v="118500"/>
    <n v="2251500"/>
  </r>
  <r>
    <d v="2025-03-03T00:00:00"/>
    <x v="2"/>
    <x v="1"/>
    <x v="3"/>
    <x v="3"/>
    <n v="2000"/>
    <n v="32000"/>
    <n v="16"/>
    <n v="5000"/>
    <n v="80000"/>
    <n v="3000"/>
    <n v="48000"/>
  </r>
  <r>
    <d v="2025-03-30T00:00:00"/>
    <x v="2"/>
    <x v="1"/>
    <x v="5"/>
    <x v="3"/>
    <n v="2000"/>
    <n v="8000"/>
    <n v="4"/>
    <n v="15000"/>
    <n v="60000"/>
    <n v="13000"/>
    <n v="52000"/>
  </r>
  <r>
    <d v="2025-03-29T00:00:00"/>
    <x v="2"/>
    <x v="0"/>
    <x v="1"/>
    <x v="3"/>
    <n v="2100"/>
    <n v="27300"/>
    <n v="13"/>
    <n v="120000"/>
    <n v="1560000"/>
    <n v="117900"/>
    <n v="1532700"/>
  </r>
  <r>
    <d v="2025-03-05T00:00:00"/>
    <x v="2"/>
    <x v="3"/>
    <x v="1"/>
    <x v="2"/>
    <n v="2500"/>
    <n v="7500"/>
    <n v="3"/>
    <n v="120000"/>
    <n v="360000"/>
    <n v="117500"/>
    <n v="352500"/>
  </r>
  <r>
    <d v="2025-03-30T00:00:00"/>
    <x v="2"/>
    <x v="3"/>
    <x v="2"/>
    <x v="0"/>
    <n v="2500"/>
    <n v="40000"/>
    <n v="16"/>
    <n v="120000"/>
    <n v="1920000"/>
    <n v="117500"/>
    <n v="1880000"/>
  </r>
  <r>
    <d v="2025-03-29T00:00:00"/>
    <x v="2"/>
    <x v="2"/>
    <x v="5"/>
    <x v="4"/>
    <n v="3000"/>
    <n v="57000"/>
    <n v="19"/>
    <n v="80000"/>
    <n v="1520000"/>
    <n v="77000"/>
    <n v="1463000"/>
  </r>
  <r>
    <d v="2025-03-04T00:00:00"/>
    <x v="2"/>
    <x v="3"/>
    <x v="4"/>
    <x v="4"/>
    <n v="4000"/>
    <n v="56000"/>
    <n v="14"/>
    <n v="350000"/>
    <n v="4900000"/>
    <n v="346000"/>
    <n v="4844000"/>
  </r>
  <r>
    <d v="2025-03-12T00:00:00"/>
    <x v="2"/>
    <x v="2"/>
    <x v="5"/>
    <x v="3"/>
    <n v="4000"/>
    <n v="64000"/>
    <n v="16"/>
    <n v="5000"/>
    <n v="80000"/>
    <n v="1000"/>
    <n v="16000"/>
  </r>
  <r>
    <d v="2025-03-30T00:00:00"/>
    <x v="2"/>
    <x v="1"/>
    <x v="1"/>
    <x v="0"/>
    <n v="4000"/>
    <n v="56000"/>
    <n v="14"/>
    <n v="10000"/>
    <n v="140000"/>
    <n v="6000"/>
    <n v="84000"/>
  </r>
  <r>
    <d v="2025-03-25T00:00:00"/>
    <x v="2"/>
    <x v="2"/>
    <x v="5"/>
    <x v="1"/>
    <n v="21000"/>
    <n v="231000"/>
    <n v="11"/>
    <n v="5000"/>
    <n v="55000"/>
    <n v="-16000"/>
    <n v="-176000"/>
  </r>
  <r>
    <d v="2025-04-21T00:00:00"/>
    <x v="3"/>
    <x v="2"/>
    <x v="0"/>
    <x v="1"/>
    <n v="8429"/>
    <n v="84290"/>
    <n v="10"/>
    <n v="5000"/>
    <n v="50000"/>
    <n v="-3429"/>
    <n v="-34290"/>
  </r>
  <r>
    <d v="2025-04-21T00:00:00"/>
    <x v="3"/>
    <x v="3"/>
    <x v="3"/>
    <x v="1"/>
    <n v="7779"/>
    <n v="77790"/>
    <n v="10"/>
    <n v="15000"/>
    <n v="150000"/>
    <n v="7221"/>
    <n v="72210"/>
  </r>
  <r>
    <d v="2025-04-18T00:00:00"/>
    <x v="3"/>
    <x v="3"/>
    <x v="5"/>
    <x v="5"/>
    <n v="7130"/>
    <n v="135470"/>
    <n v="19"/>
    <n v="10000"/>
    <n v="190000"/>
    <n v="2870"/>
    <n v="54530"/>
  </r>
  <r>
    <d v="2025-04-17T00:00:00"/>
    <x v="3"/>
    <x v="3"/>
    <x v="4"/>
    <x v="4"/>
    <n v="6480"/>
    <n v="6480"/>
    <n v="1"/>
    <n v="350000"/>
    <n v="350000"/>
    <n v="343520"/>
    <n v="343520"/>
  </r>
  <r>
    <d v="2025-04-16T00:00:00"/>
    <x v="3"/>
    <x v="3"/>
    <x v="2"/>
    <x v="2"/>
    <n v="5830"/>
    <n v="11660"/>
    <n v="2"/>
    <n v="10000"/>
    <n v="20000"/>
    <n v="4170"/>
    <n v="8340"/>
  </r>
  <r>
    <d v="2025-04-14T00:00:00"/>
    <x v="3"/>
    <x v="3"/>
    <x v="1"/>
    <x v="0"/>
    <n v="5181"/>
    <n v="20724"/>
    <n v="4"/>
    <n v="80000"/>
    <n v="320000"/>
    <n v="74819"/>
    <n v="299276"/>
  </r>
  <r>
    <d v="2025-04-14T00:00:00"/>
    <x v="3"/>
    <x v="3"/>
    <x v="1"/>
    <x v="4"/>
    <n v="4531"/>
    <n v="54372"/>
    <n v="12"/>
    <n v="80000"/>
    <n v="960000"/>
    <n v="75469"/>
    <n v="905628"/>
  </r>
  <r>
    <d v="2025-04-14T00:00:00"/>
    <x v="3"/>
    <x v="0"/>
    <x v="4"/>
    <x v="3"/>
    <n v="3881"/>
    <n v="62096"/>
    <n v="16"/>
    <n v="80000"/>
    <n v="1280000"/>
    <n v="76119"/>
    <n v="1217904"/>
  </r>
  <r>
    <d v="2025-04-13T00:00:00"/>
    <x v="3"/>
    <x v="0"/>
    <x v="2"/>
    <x v="0"/>
    <n v="3232"/>
    <n v="12928"/>
    <n v="4"/>
    <n v="5000"/>
    <n v="20000"/>
    <n v="1768"/>
    <n v="7072"/>
  </r>
  <r>
    <d v="2025-04-13T00:00:00"/>
    <x v="3"/>
    <x v="0"/>
    <x v="1"/>
    <x v="3"/>
    <n v="2582"/>
    <n v="43894"/>
    <n v="17"/>
    <n v="5000"/>
    <n v="85000"/>
    <n v="2418"/>
    <n v="41106"/>
  </r>
  <r>
    <d v="2025-04-11T00:00:00"/>
    <x v="3"/>
    <x v="3"/>
    <x v="1"/>
    <x v="3"/>
    <n v="1932"/>
    <n v="17388"/>
    <n v="9"/>
    <n v="120000"/>
    <n v="1080000"/>
    <n v="118068"/>
    <n v="1062612"/>
  </r>
  <r>
    <d v="2025-04-27T00:00:00"/>
    <x v="3"/>
    <x v="3"/>
    <x v="1"/>
    <x v="3"/>
    <n v="1932"/>
    <n v="34776"/>
    <n v="18"/>
    <n v="5000"/>
    <n v="90000"/>
    <n v="3068"/>
    <n v="55224"/>
  </r>
  <r>
    <d v="2025-04-10T00:00:00"/>
    <x v="3"/>
    <x v="0"/>
    <x v="2"/>
    <x v="5"/>
    <n v="1282"/>
    <n v="6410"/>
    <n v="5"/>
    <n v="350000"/>
    <n v="1750000"/>
    <n v="348718"/>
    <n v="1743590"/>
  </r>
  <r>
    <d v="2025-04-09T00:00:00"/>
    <x v="3"/>
    <x v="1"/>
    <x v="4"/>
    <x v="3"/>
    <n v="633"/>
    <n v="6330"/>
    <n v="10"/>
    <n v="350000"/>
    <n v="3500000"/>
    <n v="349367"/>
    <n v="3493670"/>
  </r>
  <r>
    <d v="2025-04-05T00:00:00"/>
    <x v="3"/>
    <x v="0"/>
    <x v="5"/>
    <x v="1"/>
    <n v="17"/>
    <n v="136"/>
    <n v="8"/>
    <n v="10000"/>
    <n v="80000"/>
    <n v="9983"/>
    <n v="79864"/>
  </r>
  <r>
    <d v="2025-04-03T00:00:00"/>
    <x v="3"/>
    <x v="0"/>
    <x v="2"/>
    <x v="3"/>
    <n v="667"/>
    <n v="2001"/>
    <n v="3"/>
    <n v="80000"/>
    <n v="240000"/>
    <n v="79333"/>
    <n v="237999"/>
  </r>
  <r>
    <d v="2025-04-02T00:00:00"/>
    <x v="3"/>
    <x v="2"/>
    <x v="1"/>
    <x v="2"/>
    <n v="4000"/>
    <n v="28000"/>
    <n v="7"/>
    <n v="10000"/>
    <n v="70000"/>
    <n v="6000"/>
    <n v="42000"/>
  </r>
  <r>
    <d v="2025-05-02T00:00:00"/>
    <x v="4"/>
    <x v="1"/>
    <x v="5"/>
    <x v="4"/>
    <n v="2582"/>
    <n v="18074"/>
    <n v="7"/>
    <n v="5000"/>
    <n v="35000"/>
    <n v="2418"/>
    <n v="16926"/>
  </r>
  <r>
    <d v="2025-05-26T00:00:00"/>
    <x v="4"/>
    <x v="3"/>
    <x v="3"/>
    <x v="1"/>
    <n v="2582"/>
    <n v="30984"/>
    <n v="12"/>
    <n v="80000"/>
    <n v="960000"/>
    <n v="77418"/>
    <n v="929016"/>
  </r>
  <r>
    <d v="2025-05-19T00:00:00"/>
    <x v="4"/>
    <x v="1"/>
    <x v="5"/>
    <x v="5"/>
    <n v="1932"/>
    <n v="28980"/>
    <n v="15"/>
    <n v="80000"/>
    <n v="1200000"/>
    <n v="78068"/>
    <n v="1171020"/>
  </r>
  <r>
    <d v="2025-05-16T00:00:00"/>
    <x v="4"/>
    <x v="1"/>
    <x v="1"/>
    <x v="4"/>
    <n v="1282"/>
    <n v="6410"/>
    <n v="5"/>
    <n v="15000"/>
    <n v="75000"/>
    <n v="13718"/>
    <n v="68590"/>
  </r>
  <r>
    <d v="2025-05-16T00:00:00"/>
    <x v="4"/>
    <x v="2"/>
    <x v="2"/>
    <x v="3"/>
    <n v="633"/>
    <n v="633"/>
    <n v="1"/>
    <n v="350000"/>
    <n v="350000"/>
    <n v="349367"/>
    <n v="349367"/>
  </r>
  <r>
    <d v="2025-05-15T00:00:00"/>
    <x v="4"/>
    <x v="3"/>
    <x v="2"/>
    <x v="5"/>
    <n v="17"/>
    <n v="153"/>
    <n v="9"/>
    <n v="10000"/>
    <n v="90000"/>
    <n v="9983"/>
    <n v="89847"/>
  </r>
  <r>
    <d v="2025-05-15T00:00:00"/>
    <x v="4"/>
    <x v="0"/>
    <x v="1"/>
    <x v="5"/>
    <n v="667"/>
    <n v="11339"/>
    <n v="17"/>
    <n v="5000"/>
    <n v="85000"/>
    <n v="4333"/>
    <n v="73661"/>
  </r>
  <r>
    <d v="2025-05-03T00:00:00"/>
    <x v="4"/>
    <x v="0"/>
    <x v="3"/>
    <x v="3"/>
    <n v="1000"/>
    <n v="15000"/>
    <n v="15"/>
    <n v="15000"/>
    <n v="225000"/>
    <n v="14000"/>
    <n v="210000"/>
  </r>
  <r>
    <d v="2025-05-12T00:00:00"/>
    <x v="4"/>
    <x v="0"/>
    <x v="3"/>
    <x v="0"/>
    <n v="1300"/>
    <n v="1300"/>
    <n v="1"/>
    <n v="15000"/>
    <n v="15000"/>
    <n v="13700"/>
    <n v="13700"/>
  </r>
  <r>
    <d v="2025-05-30T00:00:00"/>
    <x v="4"/>
    <x v="2"/>
    <x v="2"/>
    <x v="4"/>
    <n v="1300"/>
    <n v="1300"/>
    <n v="1"/>
    <n v="350000"/>
    <n v="350000"/>
    <n v="348700"/>
    <n v="348700"/>
  </r>
  <r>
    <d v="2025-05-10T00:00:00"/>
    <x v="4"/>
    <x v="2"/>
    <x v="5"/>
    <x v="1"/>
    <n v="1500"/>
    <n v="15000"/>
    <n v="10"/>
    <n v="80000"/>
    <n v="800000"/>
    <n v="78500"/>
    <n v="785000"/>
  </r>
  <r>
    <d v="2025-05-11T00:00:00"/>
    <x v="4"/>
    <x v="2"/>
    <x v="1"/>
    <x v="5"/>
    <n v="2000"/>
    <n v="34000"/>
    <n v="17"/>
    <n v="80000"/>
    <n v="1360000"/>
    <n v="78000"/>
    <n v="1326000"/>
  </r>
  <r>
    <d v="2025-05-10T00:00:00"/>
    <x v="4"/>
    <x v="3"/>
    <x v="3"/>
    <x v="3"/>
    <n v="2100"/>
    <n v="10500"/>
    <n v="5"/>
    <n v="10000"/>
    <n v="50000"/>
    <n v="7900"/>
    <n v="39500"/>
  </r>
  <r>
    <d v="2025-05-12T00:00:00"/>
    <x v="4"/>
    <x v="1"/>
    <x v="0"/>
    <x v="1"/>
    <n v="2500"/>
    <n v="30000"/>
    <n v="12"/>
    <n v="120000"/>
    <n v="1440000"/>
    <n v="117500"/>
    <n v="1410000"/>
  </r>
  <r>
    <d v="2025-05-09T00:00:00"/>
    <x v="4"/>
    <x v="3"/>
    <x v="1"/>
    <x v="4"/>
    <n v="3000"/>
    <n v="42000"/>
    <n v="14"/>
    <n v="5000"/>
    <n v="70000"/>
    <n v="2000"/>
    <n v="28000"/>
  </r>
  <r>
    <d v="2025-05-11T00:00:00"/>
    <x v="4"/>
    <x v="1"/>
    <x v="0"/>
    <x v="2"/>
    <n v="4000"/>
    <n v="52000"/>
    <n v="13"/>
    <n v="120000"/>
    <n v="1560000"/>
    <n v="116000"/>
    <n v="1508000"/>
  </r>
  <r>
    <d v="2025-05-14T00:00:00"/>
    <x v="4"/>
    <x v="3"/>
    <x v="3"/>
    <x v="5"/>
    <n v="4000"/>
    <n v="76000"/>
    <n v="19"/>
    <n v="10000"/>
    <n v="190000"/>
    <n v="6000"/>
    <n v="114000"/>
  </r>
  <r>
    <d v="2025-05-31T00:00:00"/>
    <x v="4"/>
    <x v="1"/>
    <x v="3"/>
    <x v="1"/>
    <n v="4000"/>
    <n v="48000"/>
    <n v="12"/>
    <n v="5000"/>
    <n v="60000"/>
    <n v="1000"/>
    <n v="12000"/>
  </r>
  <r>
    <d v="2025-05-04T00:00:00"/>
    <x v="4"/>
    <x v="0"/>
    <x v="2"/>
    <x v="1"/>
    <n v="21000"/>
    <n v="21000"/>
    <n v="1"/>
    <n v="5000"/>
    <n v="5000"/>
    <n v="-16000"/>
    <n v="-16000"/>
  </r>
  <r>
    <d v="2025-06-11T00:00:00"/>
    <x v="5"/>
    <x v="3"/>
    <x v="4"/>
    <x v="2"/>
    <n v="2582"/>
    <n v="7746"/>
    <n v="3"/>
    <n v="80000"/>
    <n v="240000"/>
    <n v="77418"/>
    <n v="232254"/>
  </r>
  <r>
    <d v="2025-06-21T00:00:00"/>
    <x v="5"/>
    <x v="0"/>
    <x v="2"/>
    <x v="5"/>
    <n v="2582"/>
    <n v="12910"/>
    <n v="5"/>
    <n v="120000"/>
    <n v="600000"/>
    <n v="117418"/>
    <n v="587090"/>
  </r>
  <r>
    <d v="2025-06-10T00:00:00"/>
    <x v="5"/>
    <x v="3"/>
    <x v="4"/>
    <x v="4"/>
    <n v="1932"/>
    <n v="25116"/>
    <n v="13"/>
    <n v="120000"/>
    <n v="1560000"/>
    <n v="118068"/>
    <n v="1534884"/>
  </r>
  <r>
    <d v="2025-06-21T00:00:00"/>
    <x v="5"/>
    <x v="1"/>
    <x v="1"/>
    <x v="0"/>
    <n v="1932"/>
    <n v="9660"/>
    <n v="5"/>
    <n v="15000"/>
    <n v="75000"/>
    <n v="13068"/>
    <n v="65340"/>
  </r>
  <r>
    <d v="2025-06-07T00:00:00"/>
    <x v="5"/>
    <x v="2"/>
    <x v="1"/>
    <x v="0"/>
    <n v="1282"/>
    <n v="6410"/>
    <n v="5"/>
    <n v="120000"/>
    <n v="600000"/>
    <n v="118718"/>
    <n v="593590"/>
  </r>
  <r>
    <d v="2025-06-19T00:00:00"/>
    <x v="5"/>
    <x v="0"/>
    <x v="3"/>
    <x v="2"/>
    <n v="1282"/>
    <n v="21794"/>
    <n v="17"/>
    <n v="5000"/>
    <n v="85000"/>
    <n v="3718"/>
    <n v="63206"/>
  </r>
  <r>
    <d v="2025-06-06T00:00:00"/>
    <x v="5"/>
    <x v="2"/>
    <x v="0"/>
    <x v="5"/>
    <n v="633"/>
    <n v="3165"/>
    <n v="5"/>
    <n v="15000"/>
    <n v="75000"/>
    <n v="14367"/>
    <n v="71835"/>
  </r>
  <r>
    <d v="2025-06-16T00:00:00"/>
    <x v="5"/>
    <x v="2"/>
    <x v="1"/>
    <x v="1"/>
    <n v="633"/>
    <n v="5697"/>
    <n v="9"/>
    <n v="5000"/>
    <n v="45000"/>
    <n v="4367"/>
    <n v="39303"/>
  </r>
  <r>
    <d v="2025-06-03T00:00:00"/>
    <x v="5"/>
    <x v="3"/>
    <x v="0"/>
    <x v="4"/>
    <n v="17"/>
    <n v="34"/>
    <n v="2"/>
    <n v="10000"/>
    <n v="20000"/>
    <n v="9983"/>
    <n v="19966"/>
  </r>
  <r>
    <d v="2025-06-13T00:00:00"/>
    <x v="5"/>
    <x v="0"/>
    <x v="3"/>
    <x v="4"/>
    <n v="17"/>
    <n v="119"/>
    <n v="7"/>
    <n v="5000"/>
    <n v="35000"/>
    <n v="4983"/>
    <n v="34881"/>
  </r>
  <r>
    <d v="2025-06-01T00:00:00"/>
    <x v="5"/>
    <x v="1"/>
    <x v="5"/>
    <x v="5"/>
    <n v="667"/>
    <n v="11339"/>
    <n v="17"/>
    <n v="15000"/>
    <n v="255000"/>
    <n v="14333"/>
    <n v="243661"/>
  </r>
  <r>
    <d v="2025-06-12T00:00:00"/>
    <x v="5"/>
    <x v="2"/>
    <x v="5"/>
    <x v="2"/>
    <n v="667"/>
    <n v="3335"/>
    <n v="5"/>
    <n v="120000"/>
    <n v="600000"/>
    <n v="119333"/>
    <n v="596665"/>
  </r>
  <r>
    <d v="2025-06-29T00:00:00"/>
    <x v="5"/>
    <x v="1"/>
    <x v="3"/>
    <x v="4"/>
    <n v="667"/>
    <n v="667"/>
    <n v="1"/>
    <n v="15000"/>
    <n v="15000"/>
    <n v="14333"/>
    <n v="14333"/>
  </r>
  <r>
    <d v="2025-06-11T00:00:00"/>
    <x v="5"/>
    <x v="3"/>
    <x v="5"/>
    <x v="2"/>
    <n v="1300"/>
    <n v="20800"/>
    <n v="16"/>
    <n v="15000"/>
    <n v="240000"/>
    <n v="13700"/>
    <n v="219200"/>
  </r>
  <r>
    <d v="2025-06-24T00:00:00"/>
    <x v="5"/>
    <x v="0"/>
    <x v="3"/>
    <x v="0"/>
    <n v="1300"/>
    <n v="2600"/>
    <n v="2"/>
    <n v="5000"/>
    <n v="10000"/>
    <n v="3700"/>
    <n v="7400"/>
  </r>
  <r>
    <d v="2025-06-12T00:00:00"/>
    <x v="5"/>
    <x v="2"/>
    <x v="1"/>
    <x v="5"/>
    <n v="4000"/>
    <n v="68000"/>
    <n v="17"/>
    <n v="80000"/>
    <n v="1360000"/>
    <n v="76000"/>
    <n v="1292000"/>
  </r>
  <r>
    <d v="2025-06-24T00:00:00"/>
    <x v="5"/>
    <x v="0"/>
    <x v="5"/>
    <x v="4"/>
    <n v="4000"/>
    <n v="20000"/>
    <n v="5"/>
    <n v="10000"/>
    <n v="50000"/>
    <n v="6000"/>
    <n v="3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F1536C-1A3E-48F5-9B9D-99600EA6931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B13" firstHeaderRow="1" firstDataRow="1" firstDataCol="1"/>
  <pivotFields count="12">
    <pivotField numFmtId="22" showAll="0"/>
    <pivotField showAll="0"/>
    <pivotField axis="axisRow" showAll="0">
      <items count="5">
        <item x="0"/>
        <item x="3"/>
        <item x="1"/>
        <item x="2"/>
        <item t="default"/>
      </items>
    </pivotField>
    <pivotField showAll="0">
      <items count="7">
        <item x="1"/>
        <item x="0"/>
        <item x="3"/>
        <item x="5"/>
        <item x="4"/>
        <item x="2"/>
        <item t="default"/>
      </items>
    </pivotField>
    <pivotField showAll="0">
      <items count="7">
        <item x="3"/>
        <item x="2"/>
        <item x="0"/>
        <item x="1"/>
        <item x="4"/>
        <item x="5"/>
        <item t="default"/>
      </items>
    </pivotField>
    <pivotField numFmtId="164" showAll="0"/>
    <pivotField numFmtId="164" showAll="0"/>
    <pivotField dataField="1" showAll="0"/>
    <pivotField numFmtId="164" showAll="0"/>
    <pivotField numFmtId="164" showAll="0"/>
    <pivotField numFmtId="164" showAll="0"/>
    <pivotField numFmtId="164" showAll="0"/>
  </pivotFields>
  <rowFields count="1">
    <field x="2"/>
  </rowFields>
  <rowItems count="5">
    <i>
      <x/>
    </i>
    <i>
      <x v="1"/>
    </i>
    <i>
      <x v="2"/>
    </i>
    <i>
      <x v="3"/>
    </i>
    <i t="grand">
      <x/>
    </i>
  </rowItems>
  <colItems count="1">
    <i/>
  </colItems>
  <dataFields count="1">
    <dataField name="Sum of Units Sold" fld="7" baseField="0" baseItem="0"/>
  </dataFields>
  <formats count="2">
    <format dxfId="60">
      <pivotArea outline="0" collapsedLevelsAreSubtotals="1"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527D3A-428F-4174-B13E-E0838555ED9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C6" firstHeaderRow="0" firstDataRow="1" firstDataCol="1"/>
  <pivotFields count="12">
    <pivotField numFmtId="22" showAll="0"/>
    <pivotField showAll="0"/>
    <pivotField axis="axisRow" showAll="0">
      <items count="5">
        <item x="0"/>
        <item x="3"/>
        <item x="1"/>
        <item x="2"/>
        <item t="default"/>
      </items>
    </pivotField>
    <pivotField showAll="0">
      <items count="7">
        <item x="1"/>
        <item x="0"/>
        <item x="3"/>
        <item x="5"/>
        <item x="4"/>
        <item x="2"/>
        <item t="default"/>
      </items>
    </pivotField>
    <pivotField showAll="0">
      <items count="7">
        <item x="3"/>
        <item x="2"/>
        <item x="0"/>
        <item x="1"/>
        <item x="4"/>
        <item x="5"/>
        <item t="default"/>
      </items>
    </pivotField>
    <pivotField numFmtId="164" showAll="0"/>
    <pivotField numFmtId="164" showAll="0"/>
    <pivotField showAll="0"/>
    <pivotField numFmtId="164" showAll="0"/>
    <pivotField dataField="1" numFmtId="164" showAll="0"/>
    <pivotField numFmtId="164" showAll="0"/>
    <pivotField dataField="1" numFmtId="164" showAll="0"/>
  </pivotFields>
  <rowFields count="1">
    <field x="2"/>
  </rowFields>
  <rowItems count="5">
    <i>
      <x/>
    </i>
    <i>
      <x v="1"/>
    </i>
    <i>
      <x v="2"/>
    </i>
    <i>
      <x v="3"/>
    </i>
    <i t="grand">
      <x/>
    </i>
  </rowItems>
  <colFields count="1">
    <field x="-2"/>
  </colFields>
  <colItems count="2">
    <i>
      <x/>
    </i>
    <i i="1">
      <x v="1"/>
    </i>
  </colItems>
  <dataFields count="2">
    <dataField name="Total Sales" fld="9" baseField="0" baseItem="0" numFmtId="164"/>
    <dataField name="Total Profit" fld="11" baseField="0" baseItem="0" numFmtId="164"/>
  </dataFields>
  <formats count="2">
    <format dxfId="71">
      <pivotArea outline="0" collapsedLevelsAreSubtotals="1" fieldPosition="0"/>
    </format>
    <format dxfId="72">
      <pivotArea dataOnly="0" labelOnly="1" outline="0" fieldPosition="0">
        <references count="1">
          <reference field="4294967294" count="2">
            <x v="0"/>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A7521B-7C98-46D1-A2D0-0601F32B29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8" firstHeaderRow="1" firstDataRow="1" firstDataCol="1"/>
  <pivotFields count="12">
    <pivotField numFmtId="22" showAll="0"/>
    <pivotField showAll="0"/>
    <pivotField showAll="0">
      <items count="5">
        <item x="0"/>
        <item x="3"/>
        <item x="1"/>
        <item x="2"/>
        <item t="default"/>
      </items>
    </pivotField>
    <pivotField axis="axisRow" showAll="0" sortType="descending">
      <items count="7">
        <item x="1"/>
        <item x="0"/>
        <item x="3"/>
        <item x="5"/>
        <item x="4"/>
        <item x="2"/>
        <item t="default"/>
      </items>
      <autoSortScope>
        <pivotArea dataOnly="0" outline="0" fieldPosition="0">
          <references count="1">
            <reference field="4294967294" count="1" selected="0">
              <x v="0"/>
            </reference>
          </references>
        </pivotArea>
      </autoSortScope>
    </pivotField>
    <pivotField showAll="0">
      <items count="7">
        <item x="3"/>
        <item x="2"/>
        <item x="0"/>
        <item x="1"/>
        <item x="4"/>
        <item x="5"/>
        <item t="default"/>
      </items>
    </pivotField>
    <pivotField numFmtId="164" showAll="0"/>
    <pivotField numFmtId="164" showAll="0"/>
    <pivotField showAll="0"/>
    <pivotField numFmtId="164" showAll="0"/>
    <pivotField numFmtId="164" showAll="0"/>
    <pivotField numFmtId="164" showAll="0"/>
    <pivotField dataField="1" numFmtId="164" showAll="0"/>
  </pivotFields>
  <rowFields count="1">
    <field x="3"/>
  </rowFields>
  <rowItems count="7">
    <i>
      <x v="5"/>
    </i>
    <i>
      <x v="3"/>
    </i>
    <i>
      <x v="2"/>
    </i>
    <i>
      <x v="1"/>
    </i>
    <i>
      <x v="4"/>
    </i>
    <i>
      <x/>
    </i>
    <i t="grand">
      <x/>
    </i>
  </rowItems>
  <colItems count="1">
    <i/>
  </colItems>
  <dataFields count="1">
    <dataField name="Total Profit" fld="11" baseField="0" baseItem="0" numFmtId="165"/>
  </dataFields>
  <formats count="2">
    <format dxfId="69">
      <pivotArea outline="0" collapsedLevelsAreSubtotals="1" fieldPosition="0"/>
    </format>
    <format dxfId="70">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EB84A9-9B6B-4EE5-9C66-2331D54B1B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8" firstHeaderRow="1" firstDataRow="1" firstDataCol="1"/>
  <pivotFields count="12">
    <pivotField numFmtId="22" showAll="0"/>
    <pivotField showAll="0"/>
    <pivotField showAll="0">
      <items count="5">
        <item x="0"/>
        <item x="3"/>
        <item x="1"/>
        <item x="2"/>
        <item t="default"/>
      </items>
    </pivotField>
    <pivotField showAll="0">
      <items count="7">
        <item x="1"/>
        <item x="0"/>
        <item x="3"/>
        <item x="5"/>
        <item x="4"/>
        <item x="2"/>
        <item t="default"/>
      </items>
    </pivotField>
    <pivotField axis="axisRow" showAll="0" sortType="ascending">
      <items count="7">
        <item x="3"/>
        <item x="2"/>
        <item x="0"/>
        <item x="1"/>
        <item x="4"/>
        <item x="5"/>
        <item t="default"/>
      </items>
      <autoSortScope>
        <pivotArea dataOnly="0" outline="0" fieldPosition="0">
          <references count="1">
            <reference field="4294967294" count="1" selected="0">
              <x v="0"/>
            </reference>
          </references>
        </pivotArea>
      </autoSortScope>
    </pivotField>
    <pivotField numFmtId="164" showAll="0"/>
    <pivotField numFmtId="164" showAll="0"/>
    <pivotField showAll="0"/>
    <pivotField numFmtId="164" showAll="0"/>
    <pivotField dataField="1" numFmtId="164" showAll="0"/>
    <pivotField numFmtId="164" showAll="0"/>
    <pivotField numFmtId="164" showAll="0"/>
  </pivotFields>
  <rowFields count="1">
    <field x="4"/>
  </rowFields>
  <rowItems count="7">
    <i>
      <x v="1"/>
    </i>
    <i>
      <x v="3"/>
    </i>
    <i>
      <x v="2"/>
    </i>
    <i>
      <x v="5"/>
    </i>
    <i>
      <x/>
    </i>
    <i>
      <x v="4"/>
    </i>
    <i t="grand">
      <x/>
    </i>
  </rowItems>
  <colItems count="1">
    <i/>
  </colItems>
  <dataFields count="1">
    <dataField name="Total Sales" fld="9" baseField="0" baseItem="0" numFmtId="165"/>
  </dataFields>
  <formats count="2">
    <format dxfId="67">
      <pivotArea outline="0" collapsedLevelsAreSubtotals="1" fieldPosition="0"/>
    </format>
    <format dxfId="68">
      <pivotArea dataOnly="0" labelOnly="1" outline="0" axis="axisValues" fieldPosition="0"/>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268633-C914-403B-9376-1A8168FAD9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C8" firstHeaderRow="0" firstDataRow="1" firstDataCol="1"/>
  <pivotFields count="12">
    <pivotField numFmtId="22" showAll="0"/>
    <pivotField axis="axisRow" showAll="0">
      <items count="7">
        <item x="0"/>
        <item x="1"/>
        <item x="2"/>
        <item x="3"/>
        <item x="4"/>
        <item x="5"/>
        <item t="default"/>
      </items>
    </pivotField>
    <pivotField showAll="0">
      <items count="5">
        <item x="0"/>
        <item x="3"/>
        <item x="1"/>
        <item x="2"/>
        <item t="default"/>
      </items>
    </pivotField>
    <pivotField showAll="0">
      <items count="7">
        <item x="1"/>
        <item x="0"/>
        <item x="3"/>
        <item x="5"/>
        <item x="4"/>
        <item x="2"/>
        <item t="default"/>
      </items>
    </pivotField>
    <pivotField showAll="0">
      <items count="7">
        <item x="3"/>
        <item x="2"/>
        <item x="0"/>
        <item x="1"/>
        <item x="4"/>
        <item x="5"/>
        <item t="default"/>
      </items>
    </pivotField>
    <pivotField numFmtId="164" showAll="0"/>
    <pivotField numFmtId="164" showAll="0"/>
    <pivotField showAll="0"/>
    <pivotField numFmtId="164" showAll="0"/>
    <pivotField dataField="1" numFmtId="164" showAll="0"/>
    <pivotField numFmtId="164" showAll="0"/>
    <pivotField dataField="1" numFmtId="164" showAll="0"/>
  </pivotFields>
  <rowFields count="1">
    <field x="1"/>
  </rowFields>
  <rowItems count="7">
    <i>
      <x/>
    </i>
    <i>
      <x v="1"/>
    </i>
    <i>
      <x v="2"/>
    </i>
    <i>
      <x v="3"/>
    </i>
    <i>
      <x v="4"/>
    </i>
    <i>
      <x v="5"/>
    </i>
    <i t="grand">
      <x/>
    </i>
  </rowItems>
  <colFields count="1">
    <field x="-2"/>
  </colFields>
  <colItems count="2">
    <i>
      <x/>
    </i>
    <i i="1">
      <x v="1"/>
    </i>
  </colItems>
  <dataFields count="2">
    <dataField name="Total Sales" fld="9" baseField="0" baseItem="0" numFmtId="164"/>
    <dataField name="Total Profit" fld="11" baseField="0" baseItem="0" numFmtId="164"/>
  </dataFields>
  <formats count="2">
    <format dxfId="73">
      <pivotArea outline="0" collapsedLevelsAreSubtotals="1" fieldPosition="0"/>
    </format>
    <format dxfId="74">
      <pivotArea dataOnly="0" labelOnly="1" outline="0" fieldPosition="0">
        <references count="1">
          <reference field="4294967294" count="2">
            <x v="0"/>
            <x v="1"/>
          </reference>
        </references>
      </pivotArea>
    </format>
  </formats>
  <chartFormats count="2">
    <chartFormat chart="2" format="240" series="1">
      <pivotArea type="data" outline="0" fieldPosition="0">
        <references count="1">
          <reference field="4294967294" count="1" selected="0">
            <x v="0"/>
          </reference>
        </references>
      </pivotArea>
    </chartFormat>
    <chartFormat chart="2" format="24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130028-EABF-4660-8143-5DE2AF2875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F9" firstHeaderRow="1" firstDataRow="2" firstDataCol="1"/>
  <pivotFields count="12">
    <pivotField numFmtId="22" showAll="0"/>
    <pivotField showAll="0"/>
    <pivotField axis="axisCol" showAll="0">
      <items count="5">
        <item x="0"/>
        <item x="3"/>
        <item x="1"/>
        <item x="2"/>
        <item t="default"/>
      </items>
    </pivotField>
    <pivotField showAll="0">
      <items count="7">
        <item x="1"/>
        <item x="0"/>
        <item x="3"/>
        <item x="5"/>
        <item x="4"/>
        <item x="2"/>
        <item t="default"/>
      </items>
    </pivotField>
    <pivotField axis="axisRow" showAll="0">
      <items count="7">
        <item x="3"/>
        <item x="2"/>
        <item x="0"/>
        <item x="1"/>
        <item x="4"/>
        <item x="5"/>
        <item t="default"/>
      </items>
    </pivotField>
    <pivotField numFmtId="164" showAll="0"/>
    <pivotField numFmtId="164" showAll="0"/>
    <pivotField showAll="0"/>
    <pivotField numFmtId="164" showAll="0"/>
    <pivotField numFmtId="164" showAll="0"/>
    <pivotField numFmtId="164" showAll="0"/>
    <pivotField dataField="1" numFmtId="164" showAll="0"/>
  </pivotFields>
  <rowFields count="1">
    <field x="4"/>
  </rowFields>
  <rowItems count="7">
    <i>
      <x/>
    </i>
    <i>
      <x v="1"/>
    </i>
    <i>
      <x v="2"/>
    </i>
    <i>
      <x v="3"/>
    </i>
    <i>
      <x v="4"/>
    </i>
    <i>
      <x v="5"/>
    </i>
    <i t="grand">
      <x/>
    </i>
  </rowItems>
  <colFields count="1">
    <field x="2"/>
  </colFields>
  <colItems count="5">
    <i>
      <x/>
    </i>
    <i>
      <x v="1"/>
    </i>
    <i>
      <x v="2"/>
    </i>
    <i>
      <x v="3"/>
    </i>
    <i t="grand">
      <x/>
    </i>
  </colItems>
  <dataFields count="1">
    <dataField name="Total Profit" fld="11" baseField="0" baseItem="0" numFmtId="165"/>
  </dataFields>
  <formats count="5">
    <format dxfId="62">
      <pivotArea outline="0" collapsedLevelsAreSubtotals="1" fieldPosition="0"/>
    </format>
    <format dxfId="63">
      <pivotArea field="2" type="button" dataOnly="0" labelOnly="1" outline="0" axis="axisCol" fieldPosition="0"/>
    </format>
    <format dxfId="64">
      <pivotArea type="topRight" dataOnly="0" labelOnly="1" outline="0" fieldPosition="0"/>
    </format>
    <format dxfId="65">
      <pivotArea dataOnly="0" labelOnly="1" fieldPosition="0">
        <references count="1">
          <reference field="2" count="0"/>
        </references>
      </pivotArea>
    </format>
    <format dxfId="66">
      <pivotArea dataOnly="0" labelOnly="1" grandCol="1" outline="0" fieldPosition="0"/>
    </format>
  </formats>
  <chartFormats count="4">
    <chartFormat chart="1" format="4" series="1">
      <pivotArea type="data" outline="0" fieldPosition="0">
        <references count="2">
          <reference field="4294967294" count="1" selected="0">
            <x v="0"/>
          </reference>
          <reference field="2" count="1" selected="0">
            <x v="0"/>
          </reference>
        </references>
      </pivotArea>
    </chartFormat>
    <chartFormat chart="1" format="5" series="1">
      <pivotArea type="data" outline="0" fieldPosition="0">
        <references count="2">
          <reference field="4294967294" count="1" selected="0">
            <x v="0"/>
          </reference>
          <reference field="2" count="1" selected="0">
            <x v="1"/>
          </reference>
        </references>
      </pivotArea>
    </chartFormat>
    <chartFormat chart="1" format="6" series="1">
      <pivotArea type="data" outline="0" fieldPosition="0">
        <references count="2">
          <reference field="4294967294" count="1" selected="0">
            <x v="0"/>
          </reference>
          <reference field="2" count="1" selected="0">
            <x v="2"/>
          </reference>
        </references>
      </pivotArea>
    </chartFormat>
    <chartFormat chart="1" format="7" series="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27461B-F6C5-464D-9F8E-62FF6FD8E395}" sourceName="Region">
  <pivotTables>
    <pivotTable tabId="5" name="PivotTable4"/>
    <pivotTable tabId="2" name="PivotTable1"/>
    <pivotTable tabId="3" name="PivotTable2"/>
    <pivotTable tabId="4" name="PivotTable3"/>
    <pivotTable tabId="6" name="PivotTable5"/>
    <pivotTable tabId="2" name="PivotTable2"/>
  </pivotTables>
  <data>
    <tabular pivotCacheId="1039518863">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E2D4D19-71C3-4870-880B-B2055CB74BA7}" sourceName="Salesperson">
  <pivotTables>
    <pivotTable tabId="5" name="PivotTable4"/>
    <pivotTable tabId="2" name="PivotTable1"/>
    <pivotTable tabId="3" name="PivotTable2"/>
    <pivotTable tabId="4" name="PivotTable3"/>
    <pivotTable tabId="6" name="PivotTable5"/>
    <pivotTable tabId="2" name="PivotTable2"/>
  </pivotTables>
  <data>
    <tabular pivotCacheId="1039518863">
      <items count="6">
        <i x="1" s="1"/>
        <i x="0" s="1"/>
        <i x="3" s="1"/>
        <i x="5"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EBFAEBC-FD94-413E-9992-562607411B1A}" sourceName="Product">
  <pivotTables>
    <pivotTable tabId="5" name="PivotTable4"/>
    <pivotTable tabId="2" name="PivotTable1"/>
    <pivotTable tabId="3" name="PivotTable2"/>
    <pivotTable tabId="4" name="PivotTable3"/>
    <pivotTable tabId="6" name="PivotTable5"/>
    <pivotTable tabId="2" name="PivotTable2"/>
  </pivotTables>
  <data>
    <tabular pivotCacheId="1039518863">
      <items count="6">
        <i x="3" s="1"/>
        <i x="2" s="1"/>
        <i x="0"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BE5D8A-651B-47F6-92DF-194DDFE511F2}" cache="Slicer_Region" caption="Region" rowHeight="247650"/>
  <slicer name="Salesperson" xr10:uid="{50C0D312-3D82-4D00-A728-C40A2F248AB4}" cache="Slicer_Salesperson" caption="Salesperson" rowHeight="247650"/>
  <slicer name="Product" xr10:uid="{7885A8D3-15EE-4E2F-8D26-8D0A03EC2DE4}"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4375FD-91FE-4568-829A-F6A229D9C987}" name="SalesData" displayName="SalesData" ref="A1:L121" totalsRowShown="0" headerRowDxfId="381" headerRowBorderDxfId="380">
  <autoFilter ref="A1:L121" xr:uid="{F14375FD-91FE-4568-829A-F6A229D9C987}"/>
  <sortState xmlns:xlrd2="http://schemas.microsoft.com/office/spreadsheetml/2017/richdata2" ref="A2:K121">
    <sortCondition ref="B2:B121" customList="Jan,Feb,Mar,Apr,May,Jun,Jul,Aug,Sep,Oct,Nov,Dec"/>
  </sortState>
  <tableColumns count="12">
    <tableColumn id="1" xr3:uid="{F6C83F92-F11C-462D-8BC1-C8CC48B29EA0}" name="Date" dataDxfId="379"/>
    <tableColumn id="10" xr3:uid="{813B2CA2-D5F1-4DCE-8A93-F448A27E86D7}" name="Month" dataDxfId="378">
      <calculatedColumnFormula>TEXT(SalesData[[#This Row],[Date]],"MMM")</calculatedColumnFormula>
    </tableColumn>
    <tableColumn id="2" xr3:uid="{3CC3A91D-5C14-4640-B9DA-B27520E92DF4}" name="Region"/>
    <tableColumn id="3" xr3:uid="{F33A7BB0-66F7-4A3B-AE1B-A237ECEC11AB}" name="Salesperson"/>
    <tableColumn id="4" xr3:uid="{574BD061-0FB5-4B25-A9BD-1D8D5144F3F1}" name="Product"/>
    <tableColumn id="5" xr3:uid="{F2BF609B-43FF-488B-AC9C-3B3F4BE3D7C6}" name="Cost" dataDxfId="377"/>
    <tableColumn id="12" xr3:uid="{D6802C99-BD31-47DE-9312-6778174E633F}" name="Total Cost" dataDxfId="376">
      <calculatedColumnFormula>SalesData[[#This Row],[Cost]]*SalesData[[#This Row],[Units Sold]]</calculatedColumnFormula>
    </tableColumn>
    <tableColumn id="6" xr3:uid="{6C433277-2EDC-456C-954B-1F9479BFEF87}" name="Units Sold"/>
    <tableColumn id="7" xr3:uid="{0E76F837-E68A-45A5-B263-1A35240D57E4}" name="Unit Price" dataDxfId="375"/>
    <tableColumn id="8" xr3:uid="{20EBDD9B-23D1-4D0F-8A4F-BFA62F9CA83F}" name="Total Sales" dataDxfId="374">
      <calculatedColumnFormula>SalesData[[#This Row],[Units Sold]]*SalesData[[#This Row],[Unit Price]]</calculatedColumnFormula>
    </tableColumn>
    <tableColumn id="9" xr3:uid="{EAF97712-6EF3-43B6-AFB5-B576EC852B7E}" name="Profit" dataDxfId="373">
      <calculatedColumnFormula>SalesData[[#This Row],[Unit Price]]-SalesData[[#This Row],[Cost]]</calculatedColumnFormula>
    </tableColumn>
    <tableColumn id="11" xr3:uid="{8A5E00DD-8FC2-4EFC-B5B5-E35015312F71}" name="Total Profit" dataDxfId="372">
      <calculatedColumnFormula>SalesData[[#This Row],[Total Sales]]-SalesData[[#This Row],[Total 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6E65C-8437-46B1-AB7D-2B42A9DD998D}">
  <dimension ref="A1:L121"/>
  <sheetViews>
    <sheetView workbookViewId="0">
      <selection activeCell="K1" sqref="K1:K1048576"/>
    </sheetView>
  </sheetViews>
  <sheetFormatPr defaultRowHeight="14.4" x14ac:dyDescent="0.3"/>
  <cols>
    <col min="1" max="1" width="13.5546875" bestFit="1" customWidth="1"/>
    <col min="2" max="2" width="13.5546875" customWidth="1"/>
    <col min="4" max="4" width="13.109375" customWidth="1"/>
    <col min="5" max="5" width="9.44140625" customWidth="1"/>
    <col min="6" max="6" width="10.109375" style="7" bestFit="1" customWidth="1"/>
    <col min="7" max="7" width="11.44140625" style="7" bestFit="1" customWidth="1"/>
    <col min="8" max="8" width="11.33203125" customWidth="1"/>
    <col min="9" max="9" width="11" style="7" customWidth="1"/>
    <col min="10" max="10" width="12.6640625" style="7" bestFit="1" customWidth="1"/>
    <col min="11" max="11" width="11.109375" style="7" hidden="1" customWidth="1"/>
    <col min="12" max="12" width="12.6640625" style="7" bestFit="1" customWidth="1"/>
  </cols>
  <sheetData>
    <row r="1" spans="1:12" x14ac:dyDescent="0.3">
      <c r="A1" s="2" t="s">
        <v>0</v>
      </c>
      <c r="B1" s="2" t="s">
        <v>26</v>
      </c>
      <c r="C1" s="2" t="s">
        <v>1</v>
      </c>
      <c r="D1" s="2" t="s">
        <v>2</v>
      </c>
      <c r="E1" s="2" t="s">
        <v>3</v>
      </c>
      <c r="F1" s="6" t="s">
        <v>4</v>
      </c>
      <c r="G1" s="6" t="s">
        <v>23</v>
      </c>
      <c r="H1" s="2" t="s">
        <v>5</v>
      </c>
      <c r="I1" s="6" t="s">
        <v>6</v>
      </c>
      <c r="J1" s="6" t="s">
        <v>24</v>
      </c>
      <c r="K1" s="6" t="s">
        <v>25</v>
      </c>
      <c r="L1" s="6" t="s">
        <v>27</v>
      </c>
    </row>
    <row r="2" spans="1:12" x14ac:dyDescent="0.3">
      <c r="A2" s="1">
        <v>45678</v>
      </c>
      <c r="B2" s="1" t="str">
        <f>TEXT(SalesData[[#This Row],[Date]],"MMM")</f>
        <v>Jan</v>
      </c>
      <c r="C2" t="s">
        <v>20</v>
      </c>
      <c r="D2" t="s">
        <v>14</v>
      </c>
      <c r="E2" t="s">
        <v>19</v>
      </c>
      <c r="F2" s="7">
        <v>2582</v>
      </c>
      <c r="G2" s="7">
        <f>SalesData[[#This Row],[Cost]]*SalesData[[#This Row],[Units Sold]]</f>
        <v>23238</v>
      </c>
      <c r="H2">
        <v>9</v>
      </c>
      <c r="I2" s="7">
        <v>350000</v>
      </c>
      <c r="J2" s="7">
        <f>SalesData[[#This Row],[Units Sold]]*SalesData[[#This Row],[Unit Price]]</f>
        <v>3150000</v>
      </c>
      <c r="K2" s="7">
        <f>SalesData[[#This Row],[Unit Price]]-SalesData[[#This Row],[Cost]]</f>
        <v>347418</v>
      </c>
      <c r="L2" s="7">
        <f>SalesData[[#This Row],[Total Sales]]-SalesData[[#This Row],[Total Cost]]</f>
        <v>3126762</v>
      </c>
    </row>
    <row r="3" spans="1:12" x14ac:dyDescent="0.3">
      <c r="A3" s="1">
        <v>45675</v>
      </c>
      <c r="B3" s="1" t="str">
        <f>TEXT(SalesData[[#This Row],[Date]],"MMM")</f>
        <v>Jan</v>
      </c>
      <c r="C3" t="s">
        <v>7</v>
      </c>
      <c r="D3" t="s">
        <v>8</v>
      </c>
      <c r="E3" t="s">
        <v>15</v>
      </c>
      <c r="F3" s="7">
        <v>1932</v>
      </c>
      <c r="G3" s="7">
        <f>SalesData[[#This Row],[Cost]]*SalesData[[#This Row],[Units Sold]]</f>
        <v>7728</v>
      </c>
      <c r="H3">
        <v>4</v>
      </c>
      <c r="I3" s="7">
        <v>120000</v>
      </c>
      <c r="J3" s="7">
        <f>SalesData[[#This Row],[Units Sold]]*SalesData[[#This Row],[Unit Price]]</f>
        <v>480000</v>
      </c>
      <c r="K3" s="7">
        <f>SalesData[[#This Row],[Unit Price]]-SalesData[[#This Row],[Cost]]</f>
        <v>118068</v>
      </c>
      <c r="L3" s="7">
        <f>SalesData[[#This Row],[Total Sales]]-SalesData[[#This Row],[Total Cost]]</f>
        <v>472272</v>
      </c>
    </row>
    <row r="4" spans="1:12" x14ac:dyDescent="0.3">
      <c r="A4" s="1">
        <v>45672</v>
      </c>
      <c r="B4" s="1" t="str">
        <f>TEXT(SalesData[[#This Row],[Date]],"MMM")</f>
        <v>Jan</v>
      </c>
      <c r="C4" t="s">
        <v>13</v>
      </c>
      <c r="D4" t="s">
        <v>18</v>
      </c>
      <c r="E4" t="s">
        <v>22</v>
      </c>
      <c r="F4" s="7">
        <v>1282</v>
      </c>
      <c r="G4" s="7">
        <f>SalesData[[#This Row],[Cost]]*SalesData[[#This Row],[Units Sold]]</f>
        <v>17948</v>
      </c>
      <c r="H4">
        <v>14</v>
      </c>
      <c r="I4" s="7">
        <v>15000</v>
      </c>
      <c r="J4" s="7">
        <f>SalesData[[#This Row],[Units Sold]]*SalesData[[#This Row],[Unit Price]]</f>
        <v>210000</v>
      </c>
      <c r="K4" s="7">
        <f>SalesData[[#This Row],[Unit Price]]-SalesData[[#This Row],[Cost]]</f>
        <v>13718</v>
      </c>
      <c r="L4" s="7">
        <f>SalesData[[#This Row],[Total Sales]]-SalesData[[#This Row],[Total Cost]]</f>
        <v>192052</v>
      </c>
    </row>
    <row r="5" spans="1:12" x14ac:dyDescent="0.3">
      <c r="A5" s="1">
        <v>45672</v>
      </c>
      <c r="B5" s="1" t="str">
        <f>TEXT(SalesData[[#This Row],[Date]],"MMM")</f>
        <v>Jan</v>
      </c>
      <c r="C5" t="s">
        <v>10</v>
      </c>
      <c r="D5" t="s">
        <v>14</v>
      </c>
      <c r="E5" t="s">
        <v>15</v>
      </c>
      <c r="F5" s="7">
        <v>633</v>
      </c>
      <c r="G5" s="7">
        <f>SalesData[[#This Row],[Cost]]*SalesData[[#This Row],[Units Sold]]</f>
        <v>1266</v>
      </c>
      <c r="H5">
        <v>2</v>
      </c>
      <c r="I5" s="7">
        <v>80000</v>
      </c>
      <c r="J5" s="7">
        <f>SalesData[[#This Row],[Units Sold]]*SalesData[[#This Row],[Unit Price]]</f>
        <v>160000</v>
      </c>
      <c r="K5" s="7">
        <f>SalesData[[#This Row],[Unit Price]]-SalesData[[#This Row],[Cost]]</f>
        <v>79367</v>
      </c>
      <c r="L5" s="7">
        <f>SalesData[[#This Row],[Total Sales]]-SalesData[[#This Row],[Total Cost]]</f>
        <v>158734</v>
      </c>
    </row>
    <row r="6" spans="1:12" x14ac:dyDescent="0.3">
      <c r="A6" s="1">
        <v>45672</v>
      </c>
      <c r="B6" s="1" t="str">
        <f>TEXT(SalesData[[#This Row],[Date]],"MMM")</f>
        <v>Jan</v>
      </c>
      <c r="C6" t="s">
        <v>7</v>
      </c>
      <c r="D6" t="s">
        <v>17</v>
      </c>
      <c r="E6" t="s">
        <v>16</v>
      </c>
      <c r="F6" s="7">
        <v>17</v>
      </c>
      <c r="G6" s="7">
        <f>SalesData[[#This Row],[Cost]]*SalesData[[#This Row],[Units Sold]]</f>
        <v>85</v>
      </c>
      <c r="H6">
        <v>5</v>
      </c>
      <c r="I6" s="7">
        <v>10000</v>
      </c>
      <c r="J6" s="7">
        <f>SalesData[[#This Row],[Units Sold]]*SalesData[[#This Row],[Unit Price]]</f>
        <v>50000</v>
      </c>
      <c r="K6" s="7">
        <f>SalesData[[#This Row],[Unit Price]]-SalesData[[#This Row],[Cost]]</f>
        <v>9983</v>
      </c>
      <c r="L6" s="7">
        <f>SalesData[[#This Row],[Total Sales]]-SalesData[[#This Row],[Total Cost]]</f>
        <v>49915</v>
      </c>
    </row>
    <row r="7" spans="1:12" x14ac:dyDescent="0.3">
      <c r="A7" s="1">
        <v>45672</v>
      </c>
      <c r="B7" s="1" t="str">
        <f>TEXT(SalesData[[#This Row],[Date]],"MMM")</f>
        <v>Jan</v>
      </c>
      <c r="C7" t="s">
        <v>10</v>
      </c>
      <c r="D7" t="s">
        <v>14</v>
      </c>
      <c r="E7" t="s">
        <v>22</v>
      </c>
      <c r="F7" s="7">
        <v>667</v>
      </c>
      <c r="G7" s="7">
        <f>SalesData[[#This Row],[Cost]]*SalesData[[#This Row],[Units Sold]]</f>
        <v>8671</v>
      </c>
      <c r="H7">
        <v>13</v>
      </c>
      <c r="I7" s="7">
        <v>350000</v>
      </c>
      <c r="J7" s="7">
        <f>SalesData[[#This Row],[Units Sold]]*SalesData[[#This Row],[Unit Price]]</f>
        <v>4550000</v>
      </c>
      <c r="K7" s="7">
        <f>SalesData[[#This Row],[Unit Price]]-SalesData[[#This Row],[Cost]]</f>
        <v>349333</v>
      </c>
      <c r="L7" s="7">
        <f>SalesData[[#This Row],[Total Sales]]-SalesData[[#This Row],[Total Cost]]</f>
        <v>4541329</v>
      </c>
    </row>
    <row r="8" spans="1:12" x14ac:dyDescent="0.3">
      <c r="A8" s="1">
        <v>45659</v>
      </c>
      <c r="B8" s="1" t="str">
        <f>TEXT(SalesData[[#This Row],[Date]],"MMM")</f>
        <v>Jan</v>
      </c>
      <c r="C8" t="s">
        <v>20</v>
      </c>
      <c r="D8" t="s">
        <v>17</v>
      </c>
      <c r="E8" t="s">
        <v>16</v>
      </c>
      <c r="F8" s="7">
        <v>1000</v>
      </c>
      <c r="G8" s="7">
        <f>SalesData[[#This Row],[Cost]]*SalesData[[#This Row],[Units Sold]]</f>
        <v>7000</v>
      </c>
      <c r="H8">
        <v>7</v>
      </c>
      <c r="I8" s="7">
        <v>350000</v>
      </c>
      <c r="J8" s="7">
        <f>SalesData[[#This Row],[Units Sold]]*SalesData[[#This Row],[Unit Price]]</f>
        <v>2450000</v>
      </c>
      <c r="K8" s="7">
        <f>SalesData[[#This Row],[Unit Price]]-SalesData[[#This Row],[Cost]]</f>
        <v>349000</v>
      </c>
      <c r="L8" s="7">
        <f>SalesData[[#This Row],[Total Sales]]-SalesData[[#This Row],[Total Cost]]</f>
        <v>2443000</v>
      </c>
    </row>
    <row r="9" spans="1:12" x14ac:dyDescent="0.3">
      <c r="A9" s="1">
        <v>45678</v>
      </c>
      <c r="B9" s="1" t="str">
        <f>TEXT(SalesData[[#This Row],[Date]],"MMM")</f>
        <v>Jan</v>
      </c>
      <c r="C9" t="s">
        <v>20</v>
      </c>
      <c r="D9" t="s">
        <v>17</v>
      </c>
      <c r="E9" t="s">
        <v>15</v>
      </c>
      <c r="F9" s="7">
        <v>1000</v>
      </c>
      <c r="G9" s="7">
        <f>SalesData[[#This Row],[Cost]]*SalesData[[#This Row],[Units Sold]]</f>
        <v>3000</v>
      </c>
      <c r="H9">
        <v>3</v>
      </c>
      <c r="I9" s="7">
        <v>350000</v>
      </c>
      <c r="J9" s="7">
        <f>SalesData[[#This Row],[Units Sold]]*SalesData[[#This Row],[Unit Price]]</f>
        <v>1050000</v>
      </c>
      <c r="K9" s="7">
        <f>SalesData[[#This Row],[Unit Price]]-SalesData[[#This Row],[Cost]]</f>
        <v>349000</v>
      </c>
      <c r="L9" s="7">
        <f>SalesData[[#This Row],[Total Sales]]-SalesData[[#This Row],[Total Cost]]</f>
        <v>1047000</v>
      </c>
    </row>
    <row r="10" spans="1:12" x14ac:dyDescent="0.3">
      <c r="A10" s="1">
        <v>45671</v>
      </c>
      <c r="B10" s="1" t="str">
        <f>TEXT(SalesData[[#This Row],[Date]],"MMM")</f>
        <v>Jan</v>
      </c>
      <c r="C10" t="s">
        <v>10</v>
      </c>
      <c r="D10" t="s">
        <v>17</v>
      </c>
      <c r="E10" t="s">
        <v>19</v>
      </c>
      <c r="F10" s="7">
        <v>1300</v>
      </c>
      <c r="G10" s="7">
        <f>SalesData[[#This Row],[Cost]]*SalesData[[#This Row],[Units Sold]]</f>
        <v>23400</v>
      </c>
      <c r="H10">
        <v>18</v>
      </c>
      <c r="I10" s="7">
        <v>80000</v>
      </c>
      <c r="J10" s="7">
        <f>SalesData[[#This Row],[Units Sold]]*SalesData[[#This Row],[Unit Price]]</f>
        <v>1440000</v>
      </c>
      <c r="K10" s="7">
        <f>SalesData[[#This Row],[Unit Price]]-SalesData[[#This Row],[Cost]]</f>
        <v>78700</v>
      </c>
      <c r="L10" s="7">
        <f>SalesData[[#This Row],[Total Sales]]-SalesData[[#This Row],[Total Cost]]</f>
        <v>1416600</v>
      </c>
    </row>
    <row r="11" spans="1:12" x14ac:dyDescent="0.3">
      <c r="A11" s="1">
        <v>45665</v>
      </c>
      <c r="B11" s="1" t="str">
        <f>TEXT(SalesData[[#This Row],[Date]],"MMM")</f>
        <v>Jan</v>
      </c>
      <c r="C11" t="s">
        <v>7</v>
      </c>
      <c r="D11" t="s">
        <v>18</v>
      </c>
      <c r="E11" t="s">
        <v>16</v>
      </c>
      <c r="F11" s="7">
        <v>1500</v>
      </c>
      <c r="G11" s="7">
        <f>SalesData[[#This Row],[Cost]]*SalesData[[#This Row],[Units Sold]]</f>
        <v>24000</v>
      </c>
      <c r="H11">
        <v>16</v>
      </c>
      <c r="I11" s="7">
        <v>350000</v>
      </c>
      <c r="J11" s="7">
        <f>SalesData[[#This Row],[Units Sold]]*SalesData[[#This Row],[Unit Price]]</f>
        <v>5600000</v>
      </c>
      <c r="K11" s="7">
        <f>SalesData[[#This Row],[Unit Price]]-SalesData[[#This Row],[Cost]]</f>
        <v>348500</v>
      </c>
      <c r="L11" s="7">
        <f>SalesData[[#This Row],[Total Sales]]-SalesData[[#This Row],[Total Cost]]</f>
        <v>5576000</v>
      </c>
    </row>
    <row r="12" spans="1:12" x14ac:dyDescent="0.3">
      <c r="A12" s="1">
        <v>45685</v>
      </c>
      <c r="B12" s="1" t="str">
        <f>TEXT(SalesData[[#This Row],[Date]],"MMM")</f>
        <v>Jan</v>
      </c>
      <c r="C12" t="s">
        <v>10</v>
      </c>
      <c r="D12" t="s">
        <v>18</v>
      </c>
      <c r="E12" t="s">
        <v>15</v>
      </c>
      <c r="F12" s="7">
        <v>1500</v>
      </c>
      <c r="G12" s="7">
        <f>SalesData[[#This Row],[Cost]]*SalesData[[#This Row],[Units Sold]]</f>
        <v>12000</v>
      </c>
      <c r="H12">
        <v>8</v>
      </c>
      <c r="I12" s="7">
        <v>10000</v>
      </c>
      <c r="J12" s="7">
        <f>SalesData[[#This Row],[Units Sold]]*SalesData[[#This Row],[Unit Price]]</f>
        <v>80000</v>
      </c>
      <c r="K12" s="7">
        <f>SalesData[[#This Row],[Unit Price]]-SalesData[[#This Row],[Cost]]</f>
        <v>8500</v>
      </c>
      <c r="L12" s="7">
        <f>SalesData[[#This Row],[Total Sales]]-SalesData[[#This Row],[Total Cost]]</f>
        <v>68000</v>
      </c>
    </row>
    <row r="13" spans="1:12" x14ac:dyDescent="0.3">
      <c r="A13" s="1">
        <v>45666</v>
      </c>
      <c r="B13" s="1" t="str">
        <f>TEXT(SalesData[[#This Row],[Date]],"MMM")</f>
        <v>Jan</v>
      </c>
      <c r="C13" t="s">
        <v>13</v>
      </c>
      <c r="D13" t="s">
        <v>8</v>
      </c>
      <c r="E13" t="s">
        <v>12</v>
      </c>
      <c r="F13" s="7">
        <v>2000</v>
      </c>
      <c r="G13" s="7">
        <f>SalesData[[#This Row],[Cost]]*SalesData[[#This Row],[Units Sold]]</f>
        <v>2000</v>
      </c>
      <c r="H13">
        <v>1</v>
      </c>
      <c r="I13" s="7">
        <v>80000</v>
      </c>
      <c r="J13" s="7">
        <f>SalesData[[#This Row],[Units Sold]]*SalesData[[#This Row],[Unit Price]]</f>
        <v>80000</v>
      </c>
      <c r="K13" s="7">
        <f>SalesData[[#This Row],[Unit Price]]-SalesData[[#This Row],[Cost]]</f>
        <v>78000</v>
      </c>
      <c r="L13" s="7">
        <f>SalesData[[#This Row],[Total Sales]]-SalesData[[#This Row],[Total Cost]]</f>
        <v>78000</v>
      </c>
    </row>
    <row r="14" spans="1:12" x14ac:dyDescent="0.3">
      <c r="A14" s="1">
        <v>45662</v>
      </c>
      <c r="B14" s="1" t="str">
        <f>TEXT(SalesData[[#This Row],[Date]],"MMM")</f>
        <v>Jan</v>
      </c>
      <c r="C14" t="s">
        <v>7</v>
      </c>
      <c r="D14" t="s">
        <v>18</v>
      </c>
      <c r="E14" t="s">
        <v>15</v>
      </c>
      <c r="F14" s="7">
        <v>2100</v>
      </c>
      <c r="G14" s="7">
        <f>SalesData[[#This Row],[Cost]]*SalesData[[#This Row],[Units Sold]]</f>
        <v>27300</v>
      </c>
      <c r="H14">
        <v>13</v>
      </c>
      <c r="I14" s="7">
        <v>5000</v>
      </c>
      <c r="J14" s="7">
        <f>SalesData[[#This Row],[Units Sold]]*SalesData[[#This Row],[Unit Price]]</f>
        <v>65000</v>
      </c>
      <c r="K14" s="7">
        <f>SalesData[[#This Row],[Unit Price]]-SalesData[[#This Row],[Cost]]</f>
        <v>2900</v>
      </c>
      <c r="L14" s="7">
        <f>SalesData[[#This Row],[Total Sales]]-SalesData[[#This Row],[Total Cost]]</f>
        <v>37700</v>
      </c>
    </row>
    <row r="15" spans="1:12" x14ac:dyDescent="0.3">
      <c r="A15" s="1">
        <v>45681</v>
      </c>
      <c r="B15" s="1" t="str">
        <f>TEXT(SalesData[[#This Row],[Date]],"MMM")</f>
        <v>Jan</v>
      </c>
      <c r="C15" t="s">
        <v>10</v>
      </c>
      <c r="D15" t="s">
        <v>21</v>
      </c>
      <c r="E15" t="s">
        <v>19</v>
      </c>
      <c r="F15" s="7">
        <v>2100</v>
      </c>
      <c r="G15" s="7">
        <f>SalesData[[#This Row],[Cost]]*SalesData[[#This Row],[Units Sold]]</f>
        <v>25200</v>
      </c>
      <c r="H15">
        <v>12</v>
      </c>
      <c r="I15" s="7">
        <v>15000</v>
      </c>
      <c r="J15" s="7">
        <f>SalesData[[#This Row],[Units Sold]]*SalesData[[#This Row],[Unit Price]]</f>
        <v>180000</v>
      </c>
      <c r="K15" s="7">
        <f>SalesData[[#This Row],[Unit Price]]-SalesData[[#This Row],[Cost]]</f>
        <v>12900</v>
      </c>
      <c r="L15" s="7">
        <f>SalesData[[#This Row],[Total Sales]]-SalesData[[#This Row],[Total Cost]]</f>
        <v>154800</v>
      </c>
    </row>
    <row r="16" spans="1:12" x14ac:dyDescent="0.3">
      <c r="A16" s="1">
        <v>45669</v>
      </c>
      <c r="B16" s="1" t="str">
        <f>TEXT(SalesData[[#This Row],[Date]],"MMM")</f>
        <v>Jan</v>
      </c>
      <c r="C16" t="s">
        <v>13</v>
      </c>
      <c r="D16" t="s">
        <v>18</v>
      </c>
      <c r="E16" t="s">
        <v>19</v>
      </c>
      <c r="F16" s="7">
        <v>2500</v>
      </c>
      <c r="G16" s="7">
        <f>SalesData[[#This Row],[Cost]]*SalesData[[#This Row],[Units Sold]]</f>
        <v>45000</v>
      </c>
      <c r="H16">
        <v>18</v>
      </c>
      <c r="I16" s="7">
        <v>80000</v>
      </c>
      <c r="J16" s="7">
        <f>SalesData[[#This Row],[Units Sold]]*SalesData[[#This Row],[Unit Price]]</f>
        <v>1440000</v>
      </c>
      <c r="K16" s="7">
        <f>SalesData[[#This Row],[Unit Price]]-SalesData[[#This Row],[Cost]]</f>
        <v>77500</v>
      </c>
      <c r="L16" s="7">
        <f>SalesData[[#This Row],[Total Sales]]-SalesData[[#This Row],[Total Cost]]</f>
        <v>1395000</v>
      </c>
    </row>
    <row r="17" spans="1:12" x14ac:dyDescent="0.3">
      <c r="A17" s="1">
        <v>45661</v>
      </c>
      <c r="B17" s="1" t="str">
        <f>TEXT(SalesData[[#This Row],[Date]],"MMM")</f>
        <v>Jan</v>
      </c>
      <c r="C17" t="s">
        <v>20</v>
      </c>
      <c r="D17" t="s">
        <v>8</v>
      </c>
      <c r="E17" t="s">
        <v>12</v>
      </c>
      <c r="F17" s="7">
        <v>3000</v>
      </c>
      <c r="G17" s="7">
        <f>SalesData[[#This Row],[Cost]]*SalesData[[#This Row],[Units Sold]]</f>
        <v>9000</v>
      </c>
      <c r="H17">
        <v>3</v>
      </c>
      <c r="I17" s="7">
        <v>15000</v>
      </c>
      <c r="J17" s="7">
        <f>SalesData[[#This Row],[Units Sold]]*SalesData[[#This Row],[Unit Price]]</f>
        <v>45000</v>
      </c>
      <c r="K17" s="7">
        <f>SalesData[[#This Row],[Unit Price]]-SalesData[[#This Row],[Cost]]</f>
        <v>12000</v>
      </c>
      <c r="L17" s="7">
        <f>SalesData[[#This Row],[Total Sales]]-SalesData[[#This Row],[Total Cost]]</f>
        <v>36000</v>
      </c>
    </row>
    <row r="18" spans="1:12" x14ac:dyDescent="0.3">
      <c r="A18" s="1">
        <v>45679</v>
      </c>
      <c r="B18" s="1" t="str">
        <f>TEXT(SalesData[[#This Row],[Date]],"MMM")</f>
        <v>Jan</v>
      </c>
      <c r="C18" t="s">
        <v>13</v>
      </c>
      <c r="D18" t="s">
        <v>11</v>
      </c>
      <c r="E18" t="s">
        <v>12</v>
      </c>
      <c r="F18" s="7">
        <v>3000</v>
      </c>
      <c r="G18" s="7">
        <f>SalesData[[#This Row],[Cost]]*SalesData[[#This Row],[Units Sold]]</f>
        <v>48000</v>
      </c>
      <c r="H18">
        <v>16</v>
      </c>
      <c r="I18" s="7">
        <v>5000</v>
      </c>
      <c r="J18" s="7">
        <f>SalesData[[#This Row],[Units Sold]]*SalesData[[#This Row],[Unit Price]]</f>
        <v>80000</v>
      </c>
      <c r="K18" s="7">
        <f>SalesData[[#This Row],[Unit Price]]-SalesData[[#This Row],[Cost]]</f>
        <v>2000</v>
      </c>
      <c r="L18" s="7">
        <f>SalesData[[#This Row],[Total Sales]]-SalesData[[#This Row],[Total Cost]]</f>
        <v>32000</v>
      </c>
    </row>
    <row r="19" spans="1:12" x14ac:dyDescent="0.3">
      <c r="A19" s="1">
        <v>45666</v>
      </c>
      <c r="B19" s="1" t="str">
        <f>TEXT(SalesData[[#This Row],[Date]],"MMM")</f>
        <v>Jan</v>
      </c>
      <c r="C19" t="s">
        <v>10</v>
      </c>
      <c r="D19" t="s">
        <v>11</v>
      </c>
      <c r="E19" t="s">
        <v>22</v>
      </c>
      <c r="F19" s="7">
        <v>4000</v>
      </c>
      <c r="G19" s="7">
        <f>SalesData[[#This Row],[Cost]]*SalesData[[#This Row],[Units Sold]]</f>
        <v>64000</v>
      </c>
      <c r="H19">
        <v>16</v>
      </c>
      <c r="I19" s="7">
        <v>80000</v>
      </c>
      <c r="J19" s="7">
        <f>SalesData[[#This Row],[Units Sold]]*SalesData[[#This Row],[Unit Price]]</f>
        <v>1280000</v>
      </c>
      <c r="K19" s="7">
        <f>SalesData[[#This Row],[Unit Price]]-SalesData[[#This Row],[Cost]]</f>
        <v>76000</v>
      </c>
      <c r="L19" s="7">
        <f>SalesData[[#This Row],[Total Sales]]-SalesData[[#This Row],[Total Cost]]</f>
        <v>1216000</v>
      </c>
    </row>
    <row r="20" spans="1:12" x14ac:dyDescent="0.3">
      <c r="A20" s="1">
        <v>45671</v>
      </c>
      <c r="B20" s="1" t="str">
        <f>TEXT(SalesData[[#This Row],[Date]],"MMM")</f>
        <v>Jan</v>
      </c>
      <c r="C20" t="s">
        <v>10</v>
      </c>
      <c r="D20" t="s">
        <v>18</v>
      </c>
      <c r="E20" t="s">
        <v>19</v>
      </c>
      <c r="F20" s="7">
        <v>4000</v>
      </c>
      <c r="G20" s="7">
        <f>SalesData[[#This Row],[Cost]]*SalesData[[#This Row],[Units Sold]]</f>
        <v>76000</v>
      </c>
      <c r="H20">
        <v>19</v>
      </c>
      <c r="I20" s="7">
        <v>120000</v>
      </c>
      <c r="J20" s="7">
        <f>SalesData[[#This Row],[Units Sold]]*SalesData[[#This Row],[Unit Price]]</f>
        <v>2280000</v>
      </c>
      <c r="K20" s="7">
        <f>SalesData[[#This Row],[Unit Price]]-SalesData[[#This Row],[Cost]]</f>
        <v>116000</v>
      </c>
      <c r="L20" s="7">
        <f>SalesData[[#This Row],[Total Sales]]-SalesData[[#This Row],[Total Cost]]</f>
        <v>2204000</v>
      </c>
    </row>
    <row r="21" spans="1:12" x14ac:dyDescent="0.3">
      <c r="A21" s="1">
        <v>45659</v>
      </c>
      <c r="B21" s="1" t="str">
        <f>TEXT(SalesData[[#This Row],[Date]],"MMM")</f>
        <v>Jan</v>
      </c>
      <c r="C21" t="s">
        <v>7</v>
      </c>
      <c r="D21" t="s">
        <v>17</v>
      </c>
      <c r="E21" t="s">
        <v>9</v>
      </c>
      <c r="F21" s="7">
        <v>21000</v>
      </c>
      <c r="G21" s="7">
        <f>SalesData[[#This Row],[Cost]]*SalesData[[#This Row],[Units Sold]]</f>
        <v>168000</v>
      </c>
      <c r="H21">
        <v>8</v>
      </c>
      <c r="I21" s="7">
        <v>350000</v>
      </c>
      <c r="J21" s="7">
        <f>SalesData[[#This Row],[Units Sold]]*SalesData[[#This Row],[Unit Price]]</f>
        <v>2800000</v>
      </c>
      <c r="K21" s="7">
        <f>SalesData[[#This Row],[Unit Price]]-SalesData[[#This Row],[Cost]]</f>
        <v>329000</v>
      </c>
      <c r="L21" s="7">
        <f>SalesData[[#This Row],[Total Sales]]-SalesData[[#This Row],[Total Cost]]</f>
        <v>2632000</v>
      </c>
    </row>
    <row r="22" spans="1:12" x14ac:dyDescent="0.3">
      <c r="A22" s="1">
        <v>45678</v>
      </c>
      <c r="B22" s="1" t="str">
        <f>TEXT(SalesData[[#This Row],[Date]],"MMM")</f>
        <v>Jan</v>
      </c>
      <c r="C22" t="s">
        <v>13</v>
      </c>
      <c r="D22" t="s">
        <v>18</v>
      </c>
      <c r="E22" t="s">
        <v>22</v>
      </c>
      <c r="F22" s="7">
        <v>21000</v>
      </c>
      <c r="G22" s="7">
        <f>SalesData[[#This Row],[Cost]]*SalesData[[#This Row],[Units Sold]]</f>
        <v>84000</v>
      </c>
      <c r="H22">
        <v>4</v>
      </c>
      <c r="I22" s="7">
        <v>120000</v>
      </c>
      <c r="J22" s="7">
        <f>SalesData[[#This Row],[Units Sold]]*SalesData[[#This Row],[Unit Price]]</f>
        <v>480000</v>
      </c>
      <c r="K22" s="7">
        <f>SalesData[[#This Row],[Unit Price]]-SalesData[[#This Row],[Cost]]</f>
        <v>99000</v>
      </c>
      <c r="L22" s="7">
        <f>SalesData[[#This Row],[Total Sales]]-SalesData[[#This Row],[Total Cost]]</f>
        <v>396000</v>
      </c>
    </row>
    <row r="23" spans="1:12" x14ac:dyDescent="0.3">
      <c r="A23" s="1">
        <v>45710</v>
      </c>
      <c r="B23" s="1" t="str">
        <f>TEXT(SalesData[[#This Row],[Date]],"MMM")</f>
        <v>Feb</v>
      </c>
      <c r="C23" t="s">
        <v>7</v>
      </c>
      <c r="D23" t="s">
        <v>8</v>
      </c>
      <c r="E23" t="s">
        <v>9</v>
      </c>
      <c r="F23" s="7">
        <v>8429</v>
      </c>
      <c r="G23" s="7">
        <f>SalesData[[#This Row],[Cost]]*SalesData[[#This Row],[Units Sold]]</f>
        <v>126435</v>
      </c>
      <c r="H23">
        <v>15</v>
      </c>
      <c r="I23" s="7">
        <v>15000</v>
      </c>
      <c r="J23" s="7">
        <f>SalesData[[#This Row],[Units Sold]]*SalesData[[#This Row],[Unit Price]]</f>
        <v>225000</v>
      </c>
      <c r="K23" s="7">
        <f>SalesData[[#This Row],[Unit Price]]-SalesData[[#This Row],[Cost]]</f>
        <v>6571</v>
      </c>
      <c r="L23" s="7">
        <f>SalesData[[#This Row],[Total Sales]]-SalesData[[#This Row],[Total Cost]]</f>
        <v>98565</v>
      </c>
    </row>
    <row r="24" spans="1:12" x14ac:dyDescent="0.3">
      <c r="A24" s="1">
        <v>45711</v>
      </c>
      <c r="B24" s="1" t="str">
        <f>TEXT(SalesData[[#This Row],[Date]],"MMM")</f>
        <v>Feb</v>
      </c>
      <c r="C24" t="s">
        <v>10</v>
      </c>
      <c r="D24" t="s">
        <v>11</v>
      </c>
      <c r="E24" t="s">
        <v>12</v>
      </c>
      <c r="F24" s="7">
        <v>8429</v>
      </c>
      <c r="G24" s="7">
        <f>SalesData[[#This Row],[Cost]]*SalesData[[#This Row],[Units Sold]]</f>
        <v>151722</v>
      </c>
      <c r="H24">
        <v>18</v>
      </c>
      <c r="I24" s="7">
        <v>120000</v>
      </c>
      <c r="J24" s="7">
        <f>SalesData[[#This Row],[Units Sold]]*SalesData[[#This Row],[Unit Price]]</f>
        <v>2160000</v>
      </c>
      <c r="K24" s="7">
        <f>SalesData[[#This Row],[Unit Price]]-SalesData[[#This Row],[Cost]]</f>
        <v>111571</v>
      </c>
      <c r="L24" s="7">
        <f>SalesData[[#This Row],[Total Sales]]-SalesData[[#This Row],[Total Cost]]</f>
        <v>2008278</v>
      </c>
    </row>
    <row r="25" spans="1:12" x14ac:dyDescent="0.3">
      <c r="A25" s="1">
        <v>45710</v>
      </c>
      <c r="B25" s="1" t="str">
        <f>TEXT(SalesData[[#This Row],[Date]],"MMM")</f>
        <v>Feb</v>
      </c>
      <c r="C25" t="s">
        <v>13</v>
      </c>
      <c r="D25" t="s">
        <v>8</v>
      </c>
      <c r="E25" t="s">
        <v>16</v>
      </c>
      <c r="F25" s="7">
        <v>7779</v>
      </c>
      <c r="G25" s="7">
        <f>SalesData[[#This Row],[Cost]]*SalesData[[#This Row],[Units Sold]]</f>
        <v>93348</v>
      </c>
      <c r="H25">
        <v>12</v>
      </c>
      <c r="I25" s="7">
        <v>80000</v>
      </c>
      <c r="J25" s="7">
        <f>SalesData[[#This Row],[Units Sold]]*SalesData[[#This Row],[Unit Price]]</f>
        <v>960000</v>
      </c>
      <c r="K25" s="7">
        <f>SalesData[[#This Row],[Unit Price]]-SalesData[[#This Row],[Cost]]</f>
        <v>72221</v>
      </c>
      <c r="L25" s="7">
        <f>SalesData[[#This Row],[Total Sales]]-SalesData[[#This Row],[Total Cost]]</f>
        <v>866652</v>
      </c>
    </row>
    <row r="26" spans="1:12" x14ac:dyDescent="0.3">
      <c r="A26" s="1">
        <v>45710</v>
      </c>
      <c r="B26" s="1" t="str">
        <f>TEXT(SalesData[[#This Row],[Date]],"MMM")</f>
        <v>Feb</v>
      </c>
      <c r="C26" t="s">
        <v>10</v>
      </c>
      <c r="D26" t="s">
        <v>18</v>
      </c>
      <c r="E26" t="s">
        <v>19</v>
      </c>
      <c r="F26" s="7">
        <v>7130</v>
      </c>
      <c r="G26" s="7">
        <f>SalesData[[#This Row],[Cost]]*SalesData[[#This Row],[Units Sold]]</f>
        <v>85560</v>
      </c>
      <c r="H26">
        <v>12</v>
      </c>
      <c r="I26" s="7">
        <v>5000</v>
      </c>
      <c r="J26" s="7">
        <f>SalesData[[#This Row],[Units Sold]]*SalesData[[#This Row],[Unit Price]]</f>
        <v>60000</v>
      </c>
      <c r="K26" s="7">
        <f>SalesData[[#This Row],[Unit Price]]-SalesData[[#This Row],[Cost]]</f>
        <v>-2130</v>
      </c>
      <c r="L26" s="7">
        <f>SalesData[[#This Row],[Total Sales]]-SalesData[[#This Row],[Total Cost]]</f>
        <v>-25560</v>
      </c>
    </row>
    <row r="27" spans="1:12" x14ac:dyDescent="0.3">
      <c r="A27" s="1">
        <v>45708</v>
      </c>
      <c r="B27" s="1" t="str">
        <f>TEXT(SalesData[[#This Row],[Date]],"MMM")</f>
        <v>Feb</v>
      </c>
      <c r="C27" t="s">
        <v>20</v>
      </c>
      <c r="D27" t="s">
        <v>14</v>
      </c>
      <c r="E27" t="s">
        <v>15</v>
      </c>
      <c r="F27" s="7">
        <v>6480</v>
      </c>
      <c r="G27" s="7">
        <f>SalesData[[#This Row],[Cost]]*SalesData[[#This Row],[Units Sold]]</f>
        <v>45360</v>
      </c>
      <c r="H27">
        <v>7</v>
      </c>
      <c r="I27" s="7">
        <v>350000</v>
      </c>
      <c r="J27" s="7">
        <f>SalesData[[#This Row],[Units Sold]]*SalesData[[#This Row],[Unit Price]]</f>
        <v>2450000</v>
      </c>
      <c r="K27" s="7">
        <f>SalesData[[#This Row],[Unit Price]]-SalesData[[#This Row],[Cost]]</f>
        <v>343520</v>
      </c>
      <c r="L27" s="7">
        <f>SalesData[[#This Row],[Total Sales]]-SalesData[[#This Row],[Total Cost]]</f>
        <v>2404640</v>
      </c>
    </row>
    <row r="28" spans="1:12" x14ac:dyDescent="0.3">
      <c r="A28" s="1">
        <v>45708</v>
      </c>
      <c r="B28" s="1" t="str">
        <f>TEXT(SalesData[[#This Row],[Date]],"MMM")</f>
        <v>Feb</v>
      </c>
      <c r="C28" t="s">
        <v>20</v>
      </c>
      <c r="D28" t="s">
        <v>17</v>
      </c>
      <c r="E28" t="s">
        <v>15</v>
      </c>
      <c r="F28" s="7">
        <v>5830</v>
      </c>
      <c r="G28" s="7">
        <f>SalesData[[#This Row],[Cost]]*SalesData[[#This Row],[Units Sold]]</f>
        <v>23320</v>
      </c>
      <c r="H28">
        <v>4</v>
      </c>
      <c r="I28" s="7">
        <v>350000</v>
      </c>
      <c r="J28" s="7">
        <f>SalesData[[#This Row],[Units Sold]]*SalesData[[#This Row],[Unit Price]]</f>
        <v>1400000</v>
      </c>
      <c r="K28" s="7">
        <f>SalesData[[#This Row],[Unit Price]]-SalesData[[#This Row],[Cost]]</f>
        <v>344170</v>
      </c>
      <c r="L28" s="7">
        <f>SalesData[[#This Row],[Total Sales]]-SalesData[[#This Row],[Total Cost]]</f>
        <v>1376680</v>
      </c>
    </row>
    <row r="29" spans="1:12" x14ac:dyDescent="0.3">
      <c r="A29" s="1">
        <v>45707</v>
      </c>
      <c r="B29" s="1" t="str">
        <f>TEXT(SalesData[[#This Row],[Date]],"MMM")</f>
        <v>Feb</v>
      </c>
      <c r="C29" t="s">
        <v>13</v>
      </c>
      <c r="D29" t="s">
        <v>8</v>
      </c>
      <c r="E29" t="s">
        <v>16</v>
      </c>
      <c r="F29" s="7">
        <v>5181</v>
      </c>
      <c r="G29" s="7">
        <f>SalesData[[#This Row],[Cost]]*SalesData[[#This Row],[Units Sold]]</f>
        <v>56991</v>
      </c>
      <c r="H29">
        <v>11</v>
      </c>
      <c r="I29" s="7">
        <v>15000</v>
      </c>
      <c r="J29" s="7">
        <f>SalesData[[#This Row],[Units Sold]]*SalesData[[#This Row],[Unit Price]]</f>
        <v>165000</v>
      </c>
      <c r="K29" s="7">
        <f>SalesData[[#This Row],[Unit Price]]-SalesData[[#This Row],[Cost]]</f>
        <v>9819</v>
      </c>
      <c r="L29" s="7">
        <f>SalesData[[#This Row],[Total Sales]]-SalesData[[#This Row],[Total Cost]]</f>
        <v>108009</v>
      </c>
    </row>
    <row r="30" spans="1:12" x14ac:dyDescent="0.3">
      <c r="A30" s="1">
        <v>45706</v>
      </c>
      <c r="B30" s="1" t="str">
        <f>TEXT(SalesData[[#This Row],[Date]],"MMM")</f>
        <v>Feb</v>
      </c>
      <c r="C30" t="s">
        <v>10</v>
      </c>
      <c r="D30" t="s">
        <v>17</v>
      </c>
      <c r="E30" t="s">
        <v>16</v>
      </c>
      <c r="F30" s="7">
        <v>4531</v>
      </c>
      <c r="G30" s="7">
        <f>SalesData[[#This Row],[Cost]]*SalesData[[#This Row],[Units Sold]]</f>
        <v>18124</v>
      </c>
      <c r="H30">
        <v>4</v>
      </c>
      <c r="I30" s="7">
        <v>10000</v>
      </c>
      <c r="J30" s="7">
        <f>SalesData[[#This Row],[Units Sold]]*SalesData[[#This Row],[Unit Price]]</f>
        <v>40000</v>
      </c>
      <c r="K30" s="7">
        <f>SalesData[[#This Row],[Unit Price]]-SalesData[[#This Row],[Cost]]</f>
        <v>5469</v>
      </c>
      <c r="L30" s="7">
        <f>SalesData[[#This Row],[Total Sales]]-SalesData[[#This Row],[Total Cost]]</f>
        <v>21876</v>
      </c>
    </row>
    <row r="31" spans="1:12" x14ac:dyDescent="0.3">
      <c r="A31" s="1">
        <v>45705</v>
      </c>
      <c r="B31" s="1" t="str">
        <f>TEXT(SalesData[[#This Row],[Date]],"MMM")</f>
        <v>Feb</v>
      </c>
      <c r="C31" t="s">
        <v>20</v>
      </c>
      <c r="D31" t="s">
        <v>18</v>
      </c>
      <c r="E31" t="s">
        <v>9</v>
      </c>
      <c r="F31" s="7">
        <v>3881</v>
      </c>
      <c r="G31" s="7">
        <f>SalesData[[#This Row],[Cost]]*SalesData[[#This Row],[Units Sold]]</f>
        <v>50453</v>
      </c>
      <c r="H31">
        <v>13</v>
      </c>
      <c r="I31" s="7">
        <v>350000</v>
      </c>
      <c r="J31" s="7">
        <f>SalesData[[#This Row],[Units Sold]]*SalesData[[#This Row],[Unit Price]]</f>
        <v>4550000</v>
      </c>
      <c r="K31" s="7">
        <f>SalesData[[#This Row],[Unit Price]]-SalesData[[#This Row],[Cost]]</f>
        <v>346119</v>
      </c>
      <c r="L31" s="7">
        <f>SalesData[[#This Row],[Total Sales]]-SalesData[[#This Row],[Total Cost]]</f>
        <v>4499547</v>
      </c>
    </row>
    <row r="32" spans="1:12" x14ac:dyDescent="0.3">
      <c r="A32" s="1">
        <v>45705</v>
      </c>
      <c r="B32" s="1" t="str">
        <f>TEXT(SalesData[[#This Row],[Date]],"MMM")</f>
        <v>Feb</v>
      </c>
      <c r="C32" t="s">
        <v>10</v>
      </c>
      <c r="D32" t="s">
        <v>18</v>
      </c>
      <c r="E32" t="s">
        <v>15</v>
      </c>
      <c r="F32" s="7">
        <v>3232</v>
      </c>
      <c r="G32" s="7">
        <f>SalesData[[#This Row],[Cost]]*SalesData[[#This Row],[Units Sold]]</f>
        <v>51712</v>
      </c>
      <c r="H32">
        <v>16</v>
      </c>
      <c r="I32" s="7">
        <v>10000</v>
      </c>
      <c r="J32" s="7">
        <f>SalesData[[#This Row],[Units Sold]]*SalesData[[#This Row],[Unit Price]]</f>
        <v>160000</v>
      </c>
      <c r="K32" s="7">
        <f>SalesData[[#This Row],[Unit Price]]-SalesData[[#This Row],[Cost]]</f>
        <v>6768</v>
      </c>
      <c r="L32" s="7">
        <f>SalesData[[#This Row],[Total Sales]]-SalesData[[#This Row],[Total Cost]]</f>
        <v>108288</v>
      </c>
    </row>
    <row r="33" spans="1:12" x14ac:dyDescent="0.3">
      <c r="A33" s="1">
        <v>45702</v>
      </c>
      <c r="B33" s="1" t="str">
        <f>TEXT(SalesData[[#This Row],[Date]],"MMM")</f>
        <v>Feb</v>
      </c>
      <c r="C33" t="s">
        <v>20</v>
      </c>
      <c r="D33" t="s">
        <v>17</v>
      </c>
      <c r="E33" t="s">
        <v>12</v>
      </c>
      <c r="F33" s="7">
        <v>2582</v>
      </c>
      <c r="G33" s="7">
        <f>SalesData[[#This Row],[Cost]]*SalesData[[#This Row],[Units Sold]]</f>
        <v>49058</v>
      </c>
      <c r="H33">
        <v>19</v>
      </c>
      <c r="I33" s="7">
        <v>80000</v>
      </c>
      <c r="J33" s="7">
        <f>SalesData[[#This Row],[Units Sold]]*SalesData[[#This Row],[Unit Price]]</f>
        <v>1520000</v>
      </c>
      <c r="K33" s="7">
        <f>SalesData[[#This Row],[Unit Price]]-SalesData[[#This Row],[Cost]]</f>
        <v>77418</v>
      </c>
      <c r="L33" s="7">
        <f>SalesData[[#This Row],[Total Sales]]-SalesData[[#This Row],[Total Cost]]</f>
        <v>1470942</v>
      </c>
    </row>
    <row r="34" spans="1:12" x14ac:dyDescent="0.3">
      <c r="A34" s="1">
        <v>45701</v>
      </c>
      <c r="B34" s="1" t="str">
        <f>TEXT(SalesData[[#This Row],[Date]],"MMM")</f>
        <v>Feb</v>
      </c>
      <c r="C34" t="s">
        <v>13</v>
      </c>
      <c r="D34" t="s">
        <v>8</v>
      </c>
      <c r="E34" t="s">
        <v>9</v>
      </c>
      <c r="F34" s="7">
        <v>1932</v>
      </c>
      <c r="G34" s="7">
        <f>SalesData[[#This Row],[Cost]]*SalesData[[#This Row],[Units Sold]]</f>
        <v>5796</v>
      </c>
      <c r="H34">
        <v>3</v>
      </c>
      <c r="I34" s="7">
        <v>120000</v>
      </c>
      <c r="J34" s="7">
        <f>SalesData[[#This Row],[Units Sold]]*SalesData[[#This Row],[Unit Price]]</f>
        <v>360000</v>
      </c>
      <c r="K34" s="7">
        <f>SalesData[[#This Row],[Unit Price]]-SalesData[[#This Row],[Cost]]</f>
        <v>118068</v>
      </c>
      <c r="L34" s="7">
        <f>SalesData[[#This Row],[Total Sales]]-SalesData[[#This Row],[Total Cost]]</f>
        <v>354204</v>
      </c>
    </row>
    <row r="35" spans="1:12" x14ac:dyDescent="0.3">
      <c r="A35" s="1">
        <v>45698</v>
      </c>
      <c r="B35" s="1" t="str">
        <f>TEXT(SalesData[[#This Row],[Date]],"MMM")</f>
        <v>Feb</v>
      </c>
      <c r="C35" t="s">
        <v>20</v>
      </c>
      <c r="D35" t="s">
        <v>18</v>
      </c>
      <c r="E35" t="s">
        <v>12</v>
      </c>
      <c r="F35" s="7">
        <v>1282</v>
      </c>
      <c r="G35" s="7">
        <f>SalesData[[#This Row],[Cost]]*SalesData[[#This Row],[Units Sold]]</f>
        <v>12820</v>
      </c>
      <c r="H35">
        <v>10</v>
      </c>
      <c r="I35" s="7">
        <v>80000</v>
      </c>
      <c r="J35" s="7">
        <f>SalesData[[#This Row],[Units Sold]]*SalesData[[#This Row],[Unit Price]]</f>
        <v>800000</v>
      </c>
      <c r="K35" s="7">
        <f>SalesData[[#This Row],[Unit Price]]-SalesData[[#This Row],[Cost]]</f>
        <v>78718</v>
      </c>
      <c r="L35" s="7">
        <f>SalesData[[#This Row],[Total Sales]]-SalesData[[#This Row],[Total Cost]]</f>
        <v>787180</v>
      </c>
    </row>
    <row r="36" spans="1:12" x14ac:dyDescent="0.3">
      <c r="A36" s="1">
        <v>45698</v>
      </c>
      <c r="B36" s="1" t="str">
        <f>TEXT(SalesData[[#This Row],[Date]],"MMM")</f>
        <v>Feb</v>
      </c>
      <c r="C36" t="s">
        <v>7</v>
      </c>
      <c r="D36" t="s">
        <v>14</v>
      </c>
      <c r="E36" t="s">
        <v>9</v>
      </c>
      <c r="F36" s="7">
        <v>633</v>
      </c>
      <c r="G36" s="7">
        <f>SalesData[[#This Row],[Cost]]*SalesData[[#This Row],[Units Sold]]</f>
        <v>633</v>
      </c>
      <c r="H36">
        <v>1</v>
      </c>
      <c r="I36" s="7">
        <v>80000</v>
      </c>
      <c r="J36" s="7">
        <f>SalesData[[#This Row],[Units Sold]]*SalesData[[#This Row],[Unit Price]]</f>
        <v>80000</v>
      </c>
      <c r="K36" s="7">
        <f>SalesData[[#This Row],[Unit Price]]-SalesData[[#This Row],[Cost]]</f>
        <v>79367</v>
      </c>
      <c r="L36" s="7">
        <f>SalesData[[#This Row],[Total Sales]]-SalesData[[#This Row],[Total Cost]]</f>
        <v>79367</v>
      </c>
    </row>
    <row r="37" spans="1:12" x14ac:dyDescent="0.3">
      <c r="A37" s="1">
        <v>45697</v>
      </c>
      <c r="B37" s="1" t="str">
        <f>TEXT(SalesData[[#This Row],[Date]],"MMM")</f>
        <v>Feb</v>
      </c>
      <c r="C37" t="s">
        <v>13</v>
      </c>
      <c r="D37" t="s">
        <v>18</v>
      </c>
      <c r="E37" t="s">
        <v>9</v>
      </c>
      <c r="F37" s="7">
        <v>17</v>
      </c>
      <c r="G37" s="7">
        <f>SalesData[[#This Row],[Cost]]*SalesData[[#This Row],[Units Sold]]</f>
        <v>289</v>
      </c>
      <c r="H37">
        <v>17</v>
      </c>
      <c r="I37" s="7">
        <v>15000</v>
      </c>
      <c r="J37" s="7">
        <f>SalesData[[#This Row],[Units Sold]]*SalesData[[#This Row],[Unit Price]]</f>
        <v>255000</v>
      </c>
      <c r="K37" s="7">
        <f>SalesData[[#This Row],[Unit Price]]-SalesData[[#This Row],[Cost]]</f>
        <v>14983</v>
      </c>
      <c r="L37" s="7">
        <f>SalesData[[#This Row],[Total Sales]]-SalesData[[#This Row],[Total Cost]]</f>
        <v>254711</v>
      </c>
    </row>
    <row r="38" spans="1:12" x14ac:dyDescent="0.3">
      <c r="A38" s="1">
        <v>45695</v>
      </c>
      <c r="B38" s="1" t="str">
        <f>TEXT(SalesData[[#This Row],[Date]],"MMM")</f>
        <v>Feb</v>
      </c>
      <c r="C38" t="s">
        <v>20</v>
      </c>
      <c r="D38" t="s">
        <v>11</v>
      </c>
      <c r="E38" t="s">
        <v>9</v>
      </c>
      <c r="F38" s="7">
        <v>667</v>
      </c>
      <c r="G38" s="7">
        <f>SalesData[[#This Row],[Cost]]*SalesData[[#This Row],[Units Sold]]</f>
        <v>11339</v>
      </c>
      <c r="H38">
        <v>17</v>
      </c>
      <c r="I38" s="7">
        <v>15000</v>
      </c>
      <c r="J38" s="7">
        <f>SalesData[[#This Row],[Units Sold]]*SalesData[[#This Row],[Unit Price]]</f>
        <v>255000</v>
      </c>
      <c r="K38" s="7">
        <f>SalesData[[#This Row],[Unit Price]]-SalesData[[#This Row],[Cost]]</f>
        <v>14333</v>
      </c>
      <c r="L38" s="7">
        <f>SalesData[[#This Row],[Total Sales]]-SalesData[[#This Row],[Total Cost]]</f>
        <v>243661</v>
      </c>
    </row>
    <row r="39" spans="1:12" x14ac:dyDescent="0.3">
      <c r="A39" s="1">
        <v>45711</v>
      </c>
      <c r="B39" s="1" t="str">
        <f>TEXT(SalesData[[#This Row],[Date]],"MMM")</f>
        <v>Feb</v>
      </c>
      <c r="C39" t="s">
        <v>7</v>
      </c>
      <c r="D39" t="s">
        <v>11</v>
      </c>
      <c r="E39" t="s">
        <v>15</v>
      </c>
      <c r="F39" s="7">
        <v>1000</v>
      </c>
      <c r="G39" s="7">
        <f>SalesData[[#This Row],[Cost]]*SalesData[[#This Row],[Units Sold]]</f>
        <v>11000</v>
      </c>
      <c r="H39">
        <v>11</v>
      </c>
      <c r="I39" s="7">
        <v>120000</v>
      </c>
      <c r="J39" s="7">
        <f>SalesData[[#This Row],[Units Sold]]*SalesData[[#This Row],[Unit Price]]</f>
        <v>1320000</v>
      </c>
      <c r="K39" s="7">
        <f>SalesData[[#This Row],[Unit Price]]-SalesData[[#This Row],[Cost]]</f>
        <v>119000</v>
      </c>
      <c r="L39" s="7">
        <f>SalesData[[#This Row],[Total Sales]]-SalesData[[#This Row],[Total Cost]]</f>
        <v>1309000</v>
      </c>
    </row>
    <row r="40" spans="1:12" x14ac:dyDescent="0.3">
      <c r="A40" s="1">
        <v>45692</v>
      </c>
      <c r="B40" s="1" t="str">
        <f>TEXT(SalesData[[#This Row],[Date]],"MMM")</f>
        <v>Feb</v>
      </c>
      <c r="C40" t="s">
        <v>13</v>
      </c>
      <c r="D40" t="s">
        <v>21</v>
      </c>
      <c r="E40" t="s">
        <v>15</v>
      </c>
      <c r="F40" s="7">
        <v>1300</v>
      </c>
      <c r="G40" s="7">
        <f>SalesData[[#This Row],[Cost]]*SalesData[[#This Row],[Units Sold]]</f>
        <v>15600</v>
      </c>
      <c r="H40">
        <v>12</v>
      </c>
      <c r="I40" s="7">
        <v>15000</v>
      </c>
      <c r="J40" s="7">
        <f>SalesData[[#This Row],[Units Sold]]*SalesData[[#This Row],[Unit Price]]</f>
        <v>180000</v>
      </c>
      <c r="K40" s="7">
        <f>SalesData[[#This Row],[Unit Price]]-SalesData[[#This Row],[Cost]]</f>
        <v>13700</v>
      </c>
      <c r="L40" s="7">
        <f>SalesData[[#This Row],[Total Sales]]-SalesData[[#This Row],[Total Cost]]</f>
        <v>164400</v>
      </c>
    </row>
    <row r="41" spans="1:12" x14ac:dyDescent="0.3">
      <c r="A41" s="1">
        <v>45690</v>
      </c>
      <c r="B41" s="1" t="str">
        <f>TEXT(SalesData[[#This Row],[Date]],"MMM")</f>
        <v>Feb</v>
      </c>
      <c r="C41" t="s">
        <v>20</v>
      </c>
      <c r="D41" t="s">
        <v>17</v>
      </c>
      <c r="E41" t="s">
        <v>12</v>
      </c>
      <c r="F41" s="7">
        <v>2000</v>
      </c>
      <c r="G41" s="7">
        <f>SalesData[[#This Row],[Cost]]*SalesData[[#This Row],[Units Sold]]</f>
        <v>6000</v>
      </c>
      <c r="H41">
        <v>3</v>
      </c>
      <c r="I41" s="7">
        <v>15000</v>
      </c>
      <c r="J41" s="7">
        <f>SalesData[[#This Row],[Units Sold]]*SalesData[[#This Row],[Unit Price]]</f>
        <v>45000</v>
      </c>
      <c r="K41" s="7">
        <f>SalesData[[#This Row],[Unit Price]]-SalesData[[#This Row],[Cost]]</f>
        <v>13000</v>
      </c>
      <c r="L41" s="7">
        <f>SalesData[[#This Row],[Total Sales]]-SalesData[[#This Row],[Total Cost]]</f>
        <v>39000</v>
      </c>
    </row>
    <row r="42" spans="1:12" x14ac:dyDescent="0.3">
      <c r="A42" s="1">
        <v>45716</v>
      </c>
      <c r="B42" s="1" t="str">
        <f>TEXT(SalesData[[#This Row],[Date]],"MMM")</f>
        <v>Feb</v>
      </c>
      <c r="C42" t="s">
        <v>20</v>
      </c>
      <c r="D42" t="s">
        <v>11</v>
      </c>
      <c r="E42" t="s">
        <v>19</v>
      </c>
      <c r="F42" s="7">
        <v>2100</v>
      </c>
      <c r="G42" s="7">
        <f>SalesData[[#This Row],[Cost]]*SalesData[[#This Row],[Units Sold]]</f>
        <v>25200</v>
      </c>
      <c r="H42">
        <v>12</v>
      </c>
      <c r="I42" s="7">
        <v>80000</v>
      </c>
      <c r="J42" s="7">
        <f>SalesData[[#This Row],[Units Sold]]*SalesData[[#This Row],[Unit Price]]</f>
        <v>960000</v>
      </c>
      <c r="K42" s="7">
        <f>SalesData[[#This Row],[Unit Price]]-SalesData[[#This Row],[Cost]]</f>
        <v>77900</v>
      </c>
      <c r="L42" s="7">
        <f>SalesData[[#This Row],[Total Sales]]-SalesData[[#This Row],[Total Cost]]</f>
        <v>934800</v>
      </c>
    </row>
    <row r="43" spans="1:12" x14ac:dyDescent="0.3">
      <c r="A43" s="1">
        <v>45692</v>
      </c>
      <c r="B43" s="1" t="str">
        <f>TEXT(SalesData[[#This Row],[Date]],"MMM")</f>
        <v>Feb</v>
      </c>
      <c r="C43" t="s">
        <v>13</v>
      </c>
      <c r="D43" t="s">
        <v>11</v>
      </c>
      <c r="E43" t="s">
        <v>12</v>
      </c>
      <c r="F43" s="7">
        <v>2500</v>
      </c>
      <c r="G43" s="7">
        <f>SalesData[[#This Row],[Cost]]*SalesData[[#This Row],[Units Sold]]</f>
        <v>47500</v>
      </c>
      <c r="H43">
        <v>19</v>
      </c>
      <c r="I43" s="7">
        <v>350000</v>
      </c>
      <c r="J43" s="7">
        <f>SalesData[[#This Row],[Units Sold]]*SalesData[[#This Row],[Unit Price]]</f>
        <v>6650000</v>
      </c>
      <c r="K43" s="7">
        <f>SalesData[[#This Row],[Unit Price]]-SalesData[[#This Row],[Cost]]</f>
        <v>347500</v>
      </c>
      <c r="L43" s="7">
        <f>SalesData[[#This Row],[Total Sales]]-SalesData[[#This Row],[Total Cost]]</f>
        <v>6602500</v>
      </c>
    </row>
    <row r="44" spans="1:12" x14ac:dyDescent="0.3">
      <c r="A44" s="1">
        <v>45715</v>
      </c>
      <c r="B44" s="1" t="str">
        <f>TEXT(SalesData[[#This Row],[Date]],"MMM")</f>
        <v>Feb</v>
      </c>
      <c r="C44" t="s">
        <v>13</v>
      </c>
      <c r="D44" t="s">
        <v>17</v>
      </c>
      <c r="E44" t="s">
        <v>19</v>
      </c>
      <c r="F44" s="7">
        <v>3000</v>
      </c>
      <c r="G44" s="7">
        <f>SalesData[[#This Row],[Cost]]*SalesData[[#This Row],[Units Sold]]</f>
        <v>51000</v>
      </c>
      <c r="H44">
        <v>17</v>
      </c>
      <c r="I44" s="7">
        <v>120000</v>
      </c>
      <c r="J44" s="7">
        <f>SalesData[[#This Row],[Units Sold]]*SalesData[[#This Row],[Unit Price]]</f>
        <v>2040000</v>
      </c>
      <c r="K44" s="7">
        <f>SalesData[[#This Row],[Unit Price]]-SalesData[[#This Row],[Cost]]</f>
        <v>117000</v>
      </c>
      <c r="L44" s="7">
        <f>SalesData[[#This Row],[Total Sales]]-SalesData[[#This Row],[Total Cost]]</f>
        <v>1989000</v>
      </c>
    </row>
    <row r="45" spans="1:12" x14ac:dyDescent="0.3">
      <c r="A45" s="1">
        <v>45690</v>
      </c>
      <c r="B45" s="1" t="str">
        <f>TEXT(SalesData[[#This Row],[Date]],"MMM")</f>
        <v>Feb</v>
      </c>
      <c r="C45" t="s">
        <v>7</v>
      </c>
      <c r="D45" t="s">
        <v>17</v>
      </c>
      <c r="E45" t="s">
        <v>12</v>
      </c>
      <c r="F45" s="7">
        <v>4000</v>
      </c>
      <c r="G45" s="7">
        <f>SalesData[[#This Row],[Cost]]*SalesData[[#This Row],[Units Sold]]</f>
        <v>12000</v>
      </c>
      <c r="H45">
        <v>3</v>
      </c>
      <c r="I45" s="7">
        <v>5000</v>
      </c>
      <c r="J45" s="7">
        <f>SalesData[[#This Row],[Units Sold]]*SalesData[[#This Row],[Unit Price]]</f>
        <v>15000</v>
      </c>
      <c r="K45" s="7">
        <f>SalesData[[#This Row],[Unit Price]]-SalesData[[#This Row],[Cost]]</f>
        <v>1000</v>
      </c>
      <c r="L45" s="7">
        <f>SalesData[[#This Row],[Total Sales]]-SalesData[[#This Row],[Total Cost]]</f>
        <v>3000</v>
      </c>
    </row>
    <row r="46" spans="1:12" x14ac:dyDescent="0.3">
      <c r="A46" s="1">
        <v>45694</v>
      </c>
      <c r="B46" s="1" t="str">
        <f>TEXT(SalesData[[#This Row],[Date]],"MMM")</f>
        <v>Feb</v>
      </c>
      <c r="C46" t="s">
        <v>13</v>
      </c>
      <c r="D46" t="s">
        <v>14</v>
      </c>
      <c r="E46" t="s">
        <v>15</v>
      </c>
      <c r="F46" s="7">
        <v>4000</v>
      </c>
      <c r="G46" s="7">
        <f>SalesData[[#This Row],[Cost]]*SalesData[[#This Row],[Units Sold]]</f>
        <v>64000</v>
      </c>
      <c r="H46">
        <v>16</v>
      </c>
      <c r="I46" s="7">
        <v>120000</v>
      </c>
      <c r="J46" s="7">
        <f>SalesData[[#This Row],[Units Sold]]*SalesData[[#This Row],[Unit Price]]</f>
        <v>1920000</v>
      </c>
      <c r="K46" s="7">
        <f>SalesData[[#This Row],[Unit Price]]-SalesData[[#This Row],[Cost]]</f>
        <v>116000</v>
      </c>
      <c r="L46" s="7">
        <f>SalesData[[#This Row],[Total Sales]]-SalesData[[#This Row],[Total Cost]]</f>
        <v>1856000</v>
      </c>
    </row>
    <row r="47" spans="1:12" x14ac:dyDescent="0.3">
      <c r="A47" s="1">
        <v>45712</v>
      </c>
      <c r="B47" s="1" t="str">
        <f>TEXT(SalesData[[#This Row],[Date]],"MMM")</f>
        <v>Feb</v>
      </c>
      <c r="C47" t="s">
        <v>13</v>
      </c>
      <c r="D47" t="s">
        <v>11</v>
      </c>
      <c r="E47" t="s">
        <v>15</v>
      </c>
      <c r="F47" s="7">
        <v>21000</v>
      </c>
      <c r="G47" s="7">
        <f>SalesData[[#This Row],[Cost]]*SalesData[[#This Row],[Units Sold]]</f>
        <v>42000</v>
      </c>
      <c r="H47">
        <v>2</v>
      </c>
      <c r="I47" s="7">
        <v>350000</v>
      </c>
      <c r="J47" s="7">
        <f>SalesData[[#This Row],[Units Sold]]*SalesData[[#This Row],[Unit Price]]</f>
        <v>700000</v>
      </c>
      <c r="K47" s="7">
        <f>SalesData[[#This Row],[Unit Price]]-SalesData[[#This Row],[Cost]]</f>
        <v>329000</v>
      </c>
      <c r="L47" s="7">
        <f>SalesData[[#This Row],[Total Sales]]-SalesData[[#This Row],[Total Cost]]</f>
        <v>658000</v>
      </c>
    </row>
    <row r="48" spans="1:12" x14ac:dyDescent="0.3">
      <c r="A48" s="1">
        <v>45738</v>
      </c>
      <c r="B48" s="1" t="str">
        <f>TEXT(SalesData[[#This Row],[Date]],"MMM")</f>
        <v>Mar</v>
      </c>
      <c r="C48" t="s">
        <v>10</v>
      </c>
      <c r="D48" t="s">
        <v>17</v>
      </c>
      <c r="E48" t="s">
        <v>16</v>
      </c>
      <c r="F48" s="7">
        <v>2582</v>
      </c>
      <c r="G48" s="7">
        <f>SalesData[[#This Row],[Cost]]*SalesData[[#This Row],[Units Sold]]</f>
        <v>49058</v>
      </c>
      <c r="H48">
        <v>19</v>
      </c>
      <c r="I48" s="7">
        <v>5000</v>
      </c>
      <c r="J48" s="7">
        <f>SalesData[[#This Row],[Units Sold]]*SalesData[[#This Row],[Unit Price]]</f>
        <v>95000</v>
      </c>
      <c r="K48" s="7">
        <f>SalesData[[#This Row],[Unit Price]]-SalesData[[#This Row],[Cost]]</f>
        <v>2418</v>
      </c>
      <c r="L48" s="7">
        <f>SalesData[[#This Row],[Total Sales]]-SalesData[[#This Row],[Total Cost]]</f>
        <v>45942</v>
      </c>
    </row>
    <row r="49" spans="1:12" x14ac:dyDescent="0.3">
      <c r="A49" s="1">
        <v>45738</v>
      </c>
      <c r="B49" s="1" t="str">
        <f>TEXT(SalesData[[#This Row],[Date]],"MMM")</f>
        <v>Mar</v>
      </c>
      <c r="C49" t="s">
        <v>7</v>
      </c>
      <c r="D49" t="s">
        <v>21</v>
      </c>
      <c r="E49" t="s">
        <v>19</v>
      </c>
      <c r="F49" s="7">
        <v>1932</v>
      </c>
      <c r="G49" s="7">
        <f>SalesData[[#This Row],[Cost]]*SalesData[[#This Row],[Units Sold]]</f>
        <v>17388</v>
      </c>
      <c r="H49">
        <v>9</v>
      </c>
      <c r="I49" s="7">
        <v>5000</v>
      </c>
      <c r="J49" s="7">
        <f>SalesData[[#This Row],[Units Sold]]*SalesData[[#This Row],[Unit Price]]</f>
        <v>45000</v>
      </c>
      <c r="K49" s="7">
        <f>SalesData[[#This Row],[Unit Price]]-SalesData[[#This Row],[Cost]]</f>
        <v>3068</v>
      </c>
      <c r="L49" s="7">
        <f>SalesData[[#This Row],[Total Sales]]-SalesData[[#This Row],[Total Cost]]</f>
        <v>27612</v>
      </c>
    </row>
    <row r="50" spans="1:12" x14ac:dyDescent="0.3">
      <c r="A50" s="1">
        <v>45732</v>
      </c>
      <c r="B50" s="1" t="str">
        <f>TEXT(SalesData[[#This Row],[Date]],"MMM")</f>
        <v>Mar</v>
      </c>
      <c r="C50" t="s">
        <v>20</v>
      </c>
      <c r="D50" t="s">
        <v>17</v>
      </c>
      <c r="E50" t="s">
        <v>12</v>
      </c>
      <c r="F50" s="7">
        <v>1282</v>
      </c>
      <c r="G50" s="7">
        <f>SalesData[[#This Row],[Cost]]*SalesData[[#This Row],[Units Sold]]</f>
        <v>5128</v>
      </c>
      <c r="H50">
        <v>4</v>
      </c>
      <c r="I50" s="7">
        <v>80000</v>
      </c>
      <c r="J50" s="7">
        <f>SalesData[[#This Row],[Units Sold]]*SalesData[[#This Row],[Unit Price]]</f>
        <v>320000</v>
      </c>
      <c r="K50" s="7">
        <f>SalesData[[#This Row],[Unit Price]]-SalesData[[#This Row],[Cost]]</f>
        <v>78718</v>
      </c>
      <c r="L50" s="7">
        <f>SalesData[[#This Row],[Total Sales]]-SalesData[[#This Row],[Total Cost]]</f>
        <v>314872</v>
      </c>
    </row>
    <row r="51" spans="1:12" x14ac:dyDescent="0.3">
      <c r="A51" s="1">
        <v>45730</v>
      </c>
      <c r="B51" s="1" t="str">
        <f>TEXT(SalesData[[#This Row],[Date]],"MMM")</f>
        <v>Mar</v>
      </c>
      <c r="C51" t="s">
        <v>7</v>
      </c>
      <c r="D51" t="s">
        <v>11</v>
      </c>
      <c r="E51" t="s">
        <v>22</v>
      </c>
      <c r="F51" s="7">
        <v>633</v>
      </c>
      <c r="G51" s="7">
        <f>SalesData[[#This Row],[Cost]]*SalesData[[#This Row],[Units Sold]]</f>
        <v>4431</v>
      </c>
      <c r="H51">
        <v>7</v>
      </c>
      <c r="I51" s="7">
        <v>350000</v>
      </c>
      <c r="J51" s="7">
        <f>SalesData[[#This Row],[Units Sold]]*SalesData[[#This Row],[Unit Price]]</f>
        <v>2450000</v>
      </c>
      <c r="K51" s="7">
        <f>SalesData[[#This Row],[Unit Price]]-SalesData[[#This Row],[Cost]]</f>
        <v>349367</v>
      </c>
      <c r="L51" s="7">
        <f>SalesData[[#This Row],[Total Sales]]-SalesData[[#This Row],[Total Cost]]</f>
        <v>2445569</v>
      </c>
    </row>
    <row r="52" spans="1:12" x14ac:dyDescent="0.3">
      <c r="A52" s="1">
        <v>45729</v>
      </c>
      <c r="B52" s="1" t="str">
        <f>TEXT(SalesData[[#This Row],[Date]],"MMM")</f>
        <v>Mar</v>
      </c>
      <c r="C52" t="s">
        <v>10</v>
      </c>
      <c r="D52" t="s">
        <v>18</v>
      </c>
      <c r="E52" t="s">
        <v>22</v>
      </c>
      <c r="F52" s="7">
        <v>17</v>
      </c>
      <c r="G52" s="7">
        <f>SalesData[[#This Row],[Cost]]*SalesData[[#This Row],[Units Sold]]</f>
        <v>85</v>
      </c>
      <c r="H52">
        <v>5</v>
      </c>
      <c r="I52" s="7">
        <v>15000</v>
      </c>
      <c r="J52" s="7">
        <f>SalesData[[#This Row],[Units Sold]]*SalesData[[#This Row],[Unit Price]]</f>
        <v>75000</v>
      </c>
      <c r="K52" s="7">
        <f>SalesData[[#This Row],[Unit Price]]-SalesData[[#This Row],[Cost]]</f>
        <v>14983</v>
      </c>
      <c r="L52" s="7">
        <f>SalesData[[#This Row],[Total Sales]]-SalesData[[#This Row],[Total Cost]]</f>
        <v>74915</v>
      </c>
    </row>
    <row r="53" spans="1:12" x14ac:dyDescent="0.3">
      <c r="A53" s="1">
        <v>45729</v>
      </c>
      <c r="B53" s="1" t="str">
        <f>TEXT(SalesData[[#This Row],[Date]],"MMM")</f>
        <v>Mar</v>
      </c>
      <c r="C53" t="s">
        <v>7</v>
      </c>
      <c r="D53" t="s">
        <v>11</v>
      </c>
      <c r="E53" t="s">
        <v>22</v>
      </c>
      <c r="F53" s="7">
        <v>667</v>
      </c>
      <c r="G53" s="7">
        <f>SalesData[[#This Row],[Cost]]*SalesData[[#This Row],[Units Sold]]</f>
        <v>2668</v>
      </c>
      <c r="H53">
        <v>4</v>
      </c>
      <c r="I53" s="7">
        <v>80000</v>
      </c>
      <c r="J53" s="7">
        <f>SalesData[[#This Row],[Units Sold]]*SalesData[[#This Row],[Unit Price]]</f>
        <v>320000</v>
      </c>
      <c r="K53" s="7">
        <f>SalesData[[#This Row],[Unit Price]]-SalesData[[#This Row],[Cost]]</f>
        <v>79333</v>
      </c>
      <c r="L53" s="7">
        <f>SalesData[[#This Row],[Total Sales]]-SalesData[[#This Row],[Total Cost]]</f>
        <v>317332</v>
      </c>
    </row>
    <row r="54" spans="1:12" x14ac:dyDescent="0.3">
      <c r="A54" s="1">
        <v>45739</v>
      </c>
      <c r="B54" s="1" t="str">
        <f>TEXT(SalesData[[#This Row],[Date]],"MMM")</f>
        <v>Mar</v>
      </c>
      <c r="C54" t="s">
        <v>20</v>
      </c>
      <c r="D54" t="s">
        <v>8</v>
      </c>
      <c r="E54" t="s">
        <v>15</v>
      </c>
      <c r="F54" s="7">
        <v>1000</v>
      </c>
      <c r="G54" s="7">
        <f>SalesData[[#This Row],[Cost]]*SalesData[[#This Row],[Units Sold]]</f>
        <v>1000</v>
      </c>
      <c r="H54">
        <v>1</v>
      </c>
      <c r="I54" s="7">
        <v>10000</v>
      </c>
      <c r="J54" s="7">
        <f>SalesData[[#This Row],[Units Sold]]*SalesData[[#This Row],[Unit Price]]</f>
        <v>10000</v>
      </c>
      <c r="K54" s="7">
        <f>SalesData[[#This Row],[Unit Price]]-SalesData[[#This Row],[Cost]]</f>
        <v>9000</v>
      </c>
      <c r="L54" s="7">
        <f>SalesData[[#This Row],[Total Sales]]-SalesData[[#This Row],[Total Cost]]</f>
        <v>9000</v>
      </c>
    </row>
    <row r="55" spans="1:12" x14ac:dyDescent="0.3">
      <c r="A55" s="1">
        <v>45722</v>
      </c>
      <c r="B55" s="1" t="str">
        <f>TEXT(SalesData[[#This Row],[Date]],"MMM")</f>
        <v>Mar</v>
      </c>
      <c r="C55" t="s">
        <v>20</v>
      </c>
      <c r="D55" t="s">
        <v>21</v>
      </c>
      <c r="E55" t="s">
        <v>16</v>
      </c>
      <c r="F55" s="7">
        <v>1300</v>
      </c>
      <c r="G55" s="7">
        <f>SalesData[[#This Row],[Cost]]*SalesData[[#This Row],[Units Sold]]</f>
        <v>15600</v>
      </c>
      <c r="H55">
        <v>12</v>
      </c>
      <c r="I55" s="7">
        <v>120000</v>
      </c>
      <c r="J55" s="7">
        <f>SalesData[[#This Row],[Units Sold]]*SalesData[[#This Row],[Unit Price]]</f>
        <v>1440000</v>
      </c>
      <c r="K55" s="7">
        <f>SalesData[[#This Row],[Unit Price]]-SalesData[[#This Row],[Cost]]</f>
        <v>118700</v>
      </c>
      <c r="L55" s="7">
        <f>SalesData[[#This Row],[Total Sales]]-SalesData[[#This Row],[Total Cost]]</f>
        <v>1424400</v>
      </c>
    </row>
    <row r="56" spans="1:12" x14ac:dyDescent="0.3">
      <c r="A56" s="1">
        <v>45747</v>
      </c>
      <c r="B56" s="1" t="str">
        <f>TEXT(SalesData[[#This Row],[Date]],"MMM")</f>
        <v>Mar</v>
      </c>
      <c r="C56" t="s">
        <v>7</v>
      </c>
      <c r="D56" t="s">
        <v>14</v>
      </c>
      <c r="E56" t="s">
        <v>9</v>
      </c>
      <c r="F56" s="7">
        <v>1300</v>
      </c>
      <c r="G56" s="7">
        <f>SalesData[[#This Row],[Cost]]*SalesData[[#This Row],[Units Sold]]</f>
        <v>16900</v>
      </c>
      <c r="H56">
        <v>13</v>
      </c>
      <c r="I56" s="7">
        <v>15000</v>
      </c>
      <c r="J56" s="7">
        <f>SalesData[[#This Row],[Units Sold]]*SalesData[[#This Row],[Unit Price]]</f>
        <v>195000</v>
      </c>
      <c r="K56" s="7">
        <f>SalesData[[#This Row],[Unit Price]]-SalesData[[#This Row],[Cost]]</f>
        <v>13700</v>
      </c>
      <c r="L56" s="7">
        <f>SalesData[[#This Row],[Total Sales]]-SalesData[[#This Row],[Total Cost]]</f>
        <v>178100</v>
      </c>
    </row>
    <row r="57" spans="1:12" x14ac:dyDescent="0.3">
      <c r="A57" s="1">
        <v>45717</v>
      </c>
      <c r="B57" s="1" t="str">
        <f>TEXT(SalesData[[#This Row],[Date]],"MMM")</f>
        <v>Mar</v>
      </c>
      <c r="C57" t="s">
        <v>7</v>
      </c>
      <c r="D57" t="s">
        <v>14</v>
      </c>
      <c r="E57" t="s">
        <v>19</v>
      </c>
      <c r="F57" s="7">
        <v>1500</v>
      </c>
      <c r="G57" s="7">
        <f>SalesData[[#This Row],[Cost]]*SalesData[[#This Row],[Units Sold]]</f>
        <v>24000</v>
      </c>
      <c r="H57">
        <v>16</v>
      </c>
      <c r="I57" s="7">
        <v>5000</v>
      </c>
      <c r="J57" s="7">
        <f>SalesData[[#This Row],[Units Sold]]*SalesData[[#This Row],[Unit Price]]</f>
        <v>80000</v>
      </c>
      <c r="K57" s="7">
        <f>SalesData[[#This Row],[Unit Price]]-SalesData[[#This Row],[Cost]]</f>
        <v>3500</v>
      </c>
      <c r="L57" s="7">
        <f>SalesData[[#This Row],[Total Sales]]-SalesData[[#This Row],[Total Cost]]</f>
        <v>56000</v>
      </c>
    </row>
    <row r="58" spans="1:12" x14ac:dyDescent="0.3">
      <c r="A58" s="1">
        <v>45745</v>
      </c>
      <c r="B58" s="1" t="str">
        <f>TEXT(SalesData[[#This Row],[Date]],"MMM")</f>
        <v>Mar</v>
      </c>
      <c r="C58" t="s">
        <v>20</v>
      </c>
      <c r="D58" t="s">
        <v>17</v>
      </c>
      <c r="E58" t="s">
        <v>9</v>
      </c>
      <c r="F58" s="7">
        <v>1500</v>
      </c>
      <c r="G58" s="7">
        <f>SalesData[[#This Row],[Cost]]*SalesData[[#This Row],[Units Sold]]</f>
        <v>28500</v>
      </c>
      <c r="H58">
        <v>19</v>
      </c>
      <c r="I58" s="7">
        <v>120000</v>
      </c>
      <c r="J58" s="7">
        <f>SalesData[[#This Row],[Units Sold]]*SalesData[[#This Row],[Unit Price]]</f>
        <v>2280000</v>
      </c>
      <c r="K58" s="7">
        <f>SalesData[[#This Row],[Unit Price]]-SalesData[[#This Row],[Cost]]</f>
        <v>118500</v>
      </c>
      <c r="L58" s="7">
        <f>SalesData[[#This Row],[Total Sales]]-SalesData[[#This Row],[Total Cost]]</f>
        <v>2251500</v>
      </c>
    </row>
    <row r="59" spans="1:12" x14ac:dyDescent="0.3">
      <c r="A59" s="1">
        <v>45719</v>
      </c>
      <c r="B59" s="1" t="str">
        <f>TEXT(SalesData[[#This Row],[Date]],"MMM")</f>
        <v>Mar</v>
      </c>
      <c r="C59" t="s">
        <v>7</v>
      </c>
      <c r="D59" t="s">
        <v>17</v>
      </c>
      <c r="E59" t="s">
        <v>16</v>
      </c>
      <c r="F59" s="7">
        <v>2000</v>
      </c>
      <c r="G59" s="7">
        <f>SalesData[[#This Row],[Cost]]*SalesData[[#This Row],[Units Sold]]</f>
        <v>32000</v>
      </c>
      <c r="H59">
        <v>16</v>
      </c>
      <c r="I59" s="7">
        <v>5000</v>
      </c>
      <c r="J59" s="7">
        <f>SalesData[[#This Row],[Units Sold]]*SalesData[[#This Row],[Unit Price]]</f>
        <v>80000</v>
      </c>
      <c r="K59" s="7">
        <f>SalesData[[#This Row],[Unit Price]]-SalesData[[#This Row],[Cost]]</f>
        <v>3000</v>
      </c>
      <c r="L59" s="7">
        <f>SalesData[[#This Row],[Total Sales]]-SalesData[[#This Row],[Total Cost]]</f>
        <v>48000</v>
      </c>
    </row>
    <row r="60" spans="1:12" x14ac:dyDescent="0.3">
      <c r="A60" s="1">
        <v>45746</v>
      </c>
      <c r="B60" s="1" t="str">
        <f>TEXT(SalesData[[#This Row],[Date]],"MMM")</f>
        <v>Mar</v>
      </c>
      <c r="C60" t="s">
        <v>7</v>
      </c>
      <c r="D60" t="s">
        <v>11</v>
      </c>
      <c r="E60" t="s">
        <v>16</v>
      </c>
      <c r="F60" s="7">
        <v>2000</v>
      </c>
      <c r="G60" s="7">
        <f>SalesData[[#This Row],[Cost]]*SalesData[[#This Row],[Units Sold]]</f>
        <v>8000</v>
      </c>
      <c r="H60">
        <v>4</v>
      </c>
      <c r="I60" s="7">
        <v>15000</v>
      </c>
      <c r="J60" s="7">
        <f>SalesData[[#This Row],[Units Sold]]*SalesData[[#This Row],[Unit Price]]</f>
        <v>60000</v>
      </c>
      <c r="K60" s="7">
        <f>SalesData[[#This Row],[Unit Price]]-SalesData[[#This Row],[Cost]]</f>
        <v>13000</v>
      </c>
      <c r="L60" s="7">
        <f>SalesData[[#This Row],[Total Sales]]-SalesData[[#This Row],[Total Cost]]</f>
        <v>52000</v>
      </c>
    </row>
    <row r="61" spans="1:12" x14ac:dyDescent="0.3">
      <c r="A61" s="1">
        <v>45745</v>
      </c>
      <c r="B61" s="1" t="str">
        <f>TEXT(SalesData[[#This Row],[Date]],"MMM")</f>
        <v>Mar</v>
      </c>
      <c r="C61" t="s">
        <v>20</v>
      </c>
      <c r="D61" t="s">
        <v>8</v>
      </c>
      <c r="E61" t="s">
        <v>16</v>
      </c>
      <c r="F61" s="7">
        <v>2100</v>
      </c>
      <c r="G61" s="7">
        <f>SalesData[[#This Row],[Cost]]*SalesData[[#This Row],[Units Sold]]</f>
        <v>27300</v>
      </c>
      <c r="H61">
        <v>13</v>
      </c>
      <c r="I61" s="7">
        <v>120000</v>
      </c>
      <c r="J61" s="7">
        <f>SalesData[[#This Row],[Units Sold]]*SalesData[[#This Row],[Unit Price]]</f>
        <v>1560000</v>
      </c>
      <c r="K61" s="7">
        <f>SalesData[[#This Row],[Unit Price]]-SalesData[[#This Row],[Cost]]</f>
        <v>117900</v>
      </c>
      <c r="L61" s="7">
        <f>SalesData[[#This Row],[Total Sales]]-SalesData[[#This Row],[Total Cost]]</f>
        <v>1532700</v>
      </c>
    </row>
    <row r="62" spans="1:12" x14ac:dyDescent="0.3">
      <c r="A62" s="1">
        <v>45721</v>
      </c>
      <c r="B62" s="1" t="str">
        <f>TEXT(SalesData[[#This Row],[Date]],"MMM")</f>
        <v>Mar</v>
      </c>
      <c r="C62" t="s">
        <v>10</v>
      </c>
      <c r="D62" t="s">
        <v>8</v>
      </c>
      <c r="E62" t="s">
        <v>22</v>
      </c>
      <c r="F62" s="7">
        <v>2500</v>
      </c>
      <c r="G62" s="7">
        <f>SalesData[[#This Row],[Cost]]*SalesData[[#This Row],[Units Sold]]</f>
        <v>7500</v>
      </c>
      <c r="H62">
        <v>3</v>
      </c>
      <c r="I62" s="7">
        <v>120000</v>
      </c>
      <c r="J62" s="7">
        <f>SalesData[[#This Row],[Units Sold]]*SalesData[[#This Row],[Unit Price]]</f>
        <v>360000</v>
      </c>
      <c r="K62" s="7">
        <f>SalesData[[#This Row],[Unit Price]]-SalesData[[#This Row],[Cost]]</f>
        <v>117500</v>
      </c>
      <c r="L62" s="7">
        <f>SalesData[[#This Row],[Total Sales]]-SalesData[[#This Row],[Total Cost]]</f>
        <v>352500</v>
      </c>
    </row>
    <row r="63" spans="1:12" x14ac:dyDescent="0.3">
      <c r="A63" s="1">
        <v>45746</v>
      </c>
      <c r="B63" s="1" t="str">
        <f>TEXT(SalesData[[#This Row],[Date]],"MMM")</f>
        <v>Mar</v>
      </c>
      <c r="C63" t="s">
        <v>10</v>
      </c>
      <c r="D63" t="s">
        <v>18</v>
      </c>
      <c r="E63" t="s">
        <v>19</v>
      </c>
      <c r="F63" s="7">
        <v>2500</v>
      </c>
      <c r="G63" s="7">
        <f>SalesData[[#This Row],[Cost]]*SalesData[[#This Row],[Units Sold]]</f>
        <v>40000</v>
      </c>
      <c r="H63">
        <v>16</v>
      </c>
      <c r="I63" s="7">
        <v>120000</v>
      </c>
      <c r="J63" s="7">
        <f>SalesData[[#This Row],[Units Sold]]*SalesData[[#This Row],[Unit Price]]</f>
        <v>1920000</v>
      </c>
      <c r="K63" s="7">
        <f>SalesData[[#This Row],[Unit Price]]-SalesData[[#This Row],[Cost]]</f>
        <v>117500</v>
      </c>
      <c r="L63" s="7">
        <f>SalesData[[#This Row],[Total Sales]]-SalesData[[#This Row],[Total Cost]]</f>
        <v>1880000</v>
      </c>
    </row>
    <row r="64" spans="1:12" x14ac:dyDescent="0.3">
      <c r="A64" s="1">
        <v>45745</v>
      </c>
      <c r="B64" s="1" t="str">
        <f>TEXT(SalesData[[#This Row],[Date]],"MMM")</f>
        <v>Mar</v>
      </c>
      <c r="C64" t="s">
        <v>13</v>
      </c>
      <c r="D64" t="s">
        <v>11</v>
      </c>
      <c r="E64" t="s">
        <v>12</v>
      </c>
      <c r="F64" s="7">
        <v>3000</v>
      </c>
      <c r="G64" s="7">
        <f>SalesData[[#This Row],[Cost]]*SalesData[[#This Row],[Units Sold]]</f>
        <v>57000</v>
      </c>
      <c r="H64">
        <v>19</v>
      </c>
      <c r="I64" s="7">
        <v>80000</v>
      </c>
      <c r="J64" s="7">
        <f>SalesData[[#This Row],[Units Sold]]*SalesData[[#This Row],[Unit Price]]</f>
        <v>1520000</v>
      </c>
      <c r="K64" s="7">
        <f>SalesData[[#This Row],[Unit Price]]-SalesData[[#This Row],[Cost]]</f>
        <v>77000</v>
      </c>
      <c r="L64" s="7">
        <f>SalesData[[#This Row],[Total Sales]]-SalesData[[#This Row],[Total Cost]]</f>
        <v>1463000</v>
      </c>
    </row>
    <row r="65" spans="1:12" x14ac:dyDescent="0.3">
      <c r="A65" s="1">
        <v>45720</v>
      </c>
      <c r="B65" s="1" t="str">
        <f>TEXT(SalesData[[#This Row],[Date]],"MMM")</f>
        <v>Mar</v>
      </c>
      <c r="C65" t="s">
        <v>10</v>
      </c>
      <c r="D65" t="s">
        <v>21</v>
      </c>
      <c r="E65" t="s">
        <v>12</v>
      </c>
      <c r="F65" s="7">
        <v>4000</v>
      </c>
      <c r="G65" s="7">
        <f>SalesData[[#This Row],[Cost]]*SalesData[[#This Row],[Units Sold]]</f>
        <v>56000</v>
      </c>
      <c r="H65">
        <v>14</v>
      </c>
      <c r="I65" s="7">
        <v>350000</v>
      </c>
      <c r="J65" s="7">
        <f>SalesData[[#This Row],[Units Sold]]*SalesData[[#This Row],[Unit Price]]</f>
        <v>4900000</v>
      </c>
      <c r="K65" s="7">
        <f>SalesData[[#This Row],[Unit Price]]-SalesData[[#This Row],[Cost]]</f>
        <v>346000</v>
      </c>
      <c r="L65" s="7">
        <f>SalesData[[#This Row],[Total Sales]]-SalesData[[#This Row],[Total Cost]]</f>
        <v>4844000</v>
      </c>
    </row>
    <row r="66" spans="1:12" x14ac:dyDescent="0.3">
      <c r="A66" s="1">
        <v>45728</v>
      </c>
      <c r="B66" s="1" t="str">
        <f>TEXT(SalesData[[#This Row],[Date]],"MMM")</f>
        <v>Mar</v>
      </c>
      <c r="C66" t="s">
        <v>13</v>
      </c>
      <c r="D66" t="s">
        <v>11</v>
      </c>
      <c r="E66" t="s">
        <v>16</v>
      </c>
      <c r="F66" s="7">
        <v>4000</v>
      </c>
      <c r="G66" s="7">
        <f>SalesData[[#This Row],[Cost]]*SalesData[[#This Row],[Units Sold]]</f>
        <v>64000</v>
      </c>
      <c r="H66">
        <v>16</v>
      </c>
      <c r="I66" s="7">
        <v>5000</v>
      </c>
      <c r="J66" s="7">
        <f>SalesData[[#This Row],[Units Sold]]*SalesData[[#This Row],[Unit Price]]</f>
        <v>80000</v>
      </c>
      <c r="K66" s="7">
        <f>SalesData[[#This Row],[Unit Price]]-SalesData[[#This Row],[Cost]]</f>
        <v>1000</v>
      </c>
      <c r="L66" s="7">
        <f>SalesData[[#This Row],[Total Sales]]-SalesData[[#This Row],[Total Cost]]</f>
        <v>16000</v>
      </c>
    </row>
    <row r="67" spans="1:12" x14ac:dyDescent="0.3">
      <c r="A67" s="1">
        <v>45746</v>
      </c>
      <c r="B67" s="1" t="str">
        <f>TEXT(SalesData[[#This Row],[Date]],"MMM")</f>
        <v>Mar</v>
      </c>
      <c r="C67" t="s">
        <v>7</v>
      </c>
      <c r="D67" t="s">
        <v>8</v>
      </c>
      <c r="E67" t="s">
        <v>19</v>
      </c>
      <c r="F67" s="7">
        <v>4000</v>
      </c>
      <c r="G67" s="7">
        <f>SalesData[[#This Row],[Cost]]*SalesData[[#This Row],[Units Sold]]</f>
        <v>56000</v>
      </c>
      <c r="H67">
        <v>14</v>
      </c>
      <c r="I67" s="7">
        <v>10000</v>
      </c>
      <c r="J67" s="7">
        <f>SalesData[[#This Row],[Units Sold]]*SalesData[[#This Row],[Unit Price]]</f>
        <v>140000</v>
      </c>
      <c r="K67" s="7">
        <f>SalesData[[#This Row],[Unit Price]]-SalesData[[#This Row],[Cost]]</f>
        <v>6000</v>
      </c>
      <c r="L67" s="7">
        <f>SalesData[[#This Row],[Total Sales]]-SalesData[[#This Row],[Total Cost]]</f>
        <v>84000</v>
      </c>
    </row>
    <row r="68" spans="1:12" x14ac:dyDescent="0.3">
      <c r="A68" s="1">
        <v>45741</v>
      </c>
      <c r="B68" s="1" t="str">
        <f>TEXT(SalesData[[#This Row],[Date]],"MMM")</f>
        <v>Mar</v>
      </c>
      <c r="C68" t="s">
        <v>13</v>
      </c>
      <c r="D68" t="s">
        <v>11</v>
      </c>
      <c r="E68" t="s">
        <v>15</v>
      </c>
      <c r="F68" s="7">
        <v>21000</v>
      </c>
      <c r="G68" s="7">
        <f>SalesData[[#This Row],[Cost]]*SalesData[[#This Row],[Units Sold]]</f>
        <v>231000</v>
      </c>
      <c r="H68">
        <v>11</v>
      </c>
      <c r="I68" s="7">
        <v>5000</v>
      </c>
      <c r="J68" s="7">
        <f>SalesData[[#This Row],[Units Sold]]*SalesData[[#This Row],[Unit Price]]</f>
        <v>55000</v>
      </c>
      <c r="K68" s="7">
        <f>SalesData[[#This Row],[Unit Price]]-SalesData[[#This Row],[Cost]]</f>
        <v>-16000</v>
      </c>
      <c r="L68" s="7">
        <f>SalesData[[#This Row],[Total Sales]]-SalesData[[#This Row],[Total Cost]]</f>
        <v>-176000</v>
      </c>
    </row>
    <row r="69" spans="1:12" x14ac:dyDescent="0.3">
      <c r="A69" s="1">
        <v>45768</v>
      </c>
      <c r="B69" s="1" t="str">
        <f>TEXT(SalesData[[#This Row],[Date]],"MMM")</f>
        <v>Apr</v>
      </c>
      <c r="C69" t="s">
        <v>13</v>
      </c>
      <c r="D69" t="s">
        <v>14</v>
      </c>
      <c r="E69" t="s">
        <v>15</v>
      </c>
      <c r="F69" s="7">
        <v>8429</v>
      </c>
      <c r="G69" s="7">
        <f>SalesData[[#This Row],[Cost]]*SalesData[[#This Row],[Units Sold]]</f>
        <v>84290</v>
      </c>
      <c r="H69">
        <v>10</v>
      </c>
      <c r="I69" s="7">
        <v>5000</v>
      </c>
      <c r="J69" s="7">
        <f>SalesData[[#This Row],[Units Sold]]*SalesData[[#This Row],[Unit Price]]</f>
        <v>50000</v>
      </c>
      <c r="K69" s="7">
        <f>SalesData[[#This Row],[Unit Price]]-SalesData[[#This Row],[Cost]]</f>
        <v>-3429</v>
      </c>
      <c r="L69" s="7">
        <f>SalesData[[#This Row],[Total Sales]]-SalesData[[#This Row],[Total Cost]]</f>
        <v>-34290</v>
      </c>
    </row>
    <row r="70" spans="1:12" x14ac:dyDescent="0.3">
      <c r="A70" s="1">
        <v>45768</v>
      </c>
      <c r="B70" s="1" t="str">
        <f>TEXT(SalesData[[#This Row],[Date]],"MMM")</f>
        <v>Apr</v>
      </c>
      <c r="C70" t="s">
        <v>10</v>
      </c>
      <c r="D70" t="s">
        <v>17</v>
      </c>
      <c r="E70" t="s">
        <v>15</v>
      </c>
      <c r="F70" s="7">
        <v>7779</v>
      </c>
      <c r="G70" s="7">
        <f>SalesData[[#This Row],[Cost]]*SalesData[[#This Row],[Units Sold]]</f>
        <v>77790</v>
      </c>
      <c r="H70">
        <v>10</v>
      </c>
      <c r="I70" s="7">
        <v>15000</v>
      </c>
      <c r="J70" s="7">
        <f>SalesData[[#This Row],[Units Sold]]*SalesData[[#This Row],[Unit Price]]</f>
        <v>150000</v>
      </c>
      <c r="K70" s="7">
        <f>SalesData[[#This Row],[Unit Price]]-SalesData[[#This Row],[Cost]]</f>
        <v>7221</v>
      </c>
      <c r="L70" s="7">
        <f>SalesData[[#This Row],[Total Sales]]-SalesData[[#This Row],[Total Cost]]</f>
        <v>72210</v>
      </c>
    </row>
    <row r="71" spans="1:12" x14ac:dyDescent="0.3">
      <c r="A71" s="1">
        <v>45765</v>
      </c>
      <c r="B71" s="1" t="str">
        <f>TEXT(SalesData[[#This Row],[Date]],"MMM")</f>
        <v>Apr</v>
      </c>
      <c r="C71" t="s">
        <v>10</v>
      </c>
      <c r="D71" t="s">
        <v>11</v>
      </c>
      <c r="E71" t="s">
        <v>9</v>
      </c>
      <c r="F71" s="7">
        <v>7130</v>
      </c>
      <c r="G71" s="7">
        <f>SalesData[[#This Row],[Cost]]*SalesData[[#This Row],[Units Sold]]</f>
        <v>135470</v>
      </c>
      <c r="H71">
        <v>19</v>
      </c>
      <c r="I71" s="7">
        <v>10000</v>
      </c>
      <c r="J71" s="7">
        <f>SalesData[[#This Row],[Units Sold]]*SalesData[[#This Row],[Unit Price]]</f>
        <v>190000</v>
      </c>
      <c r="K71" s="7">
        <f>SalesData[[#This Row],[Unit Price]]-SalesData[[#This Row],[Cost]]</f>
        <v>2870</v>
      </c>
      <c r="L71" s="7">
        <f>SalesData[[#This Row],[Total Sales]]-SalesData[[#This Row],[Total Cost]]</f>
        <v>54530</v>
      </c>
    </row>
    <row r="72" spans="1:12" x14ac:dyDescent="0.3">
      <c r="A72" s="1">
        <v>45764</v>
      </c>
      <c r="B72" s="1" t="str">
        <f>TEXT(SalesData[[#This Row],[Date]],"MMM")</f>
        <v>Apr</v>
      </c>
      <c r="C72" t="s">
        <v>10</v>
      </c>
      <c r="D72" t="s">
        <v>21</v>
      </c>
      <c r="E72" t="s">
        <v>12</v>
      </c>
      <c r="F72" s="7">
        <v>6480</v>
      </c>
      <c r="G72" s="7">
        <f>SalesData[[#This Row],[Cost]]*SalesData[[#This Row],[Units Sold]]</f>
        <v>6480</v>
      </c>
      <c r="H72">
        <v>1</v>
      </c>
      <c r="I72" s="7">
        <v>350000</v>
      </c>
      <c r="J72" s="7">
        <f>SalesData[[#This Row],[Units Sold]]*SalesData[[#This Row],[Unit Price]]</f>
        <v>350000</v>
      </c>
      <c r="K72" s="7">
        <f>SalesData[[#This Row],[Unit Price]]-SalesData[[#This Row],[Cost]]</f>
        <v>343520</v>
      </c>
      <c r="L72" s="7">
        <f>SalesData[[#This Row],[Total Sales]]-SalesData[[#This Row],[Total Cost]]</f>
        <v>343520</v>
      </c>
    </row>
    <row r="73" spans="1:12" x14ac:dyDescent="0.3">
      <c r="A73" s="1">
        <v>45763</v>
      </c>
      <c r="B73" s="1" t="str">
        <f>TEXT(SalesData[[#This Row],[Date]],"MMM")</f>
        <v>Apr</v>
      </c>
      <c r="C73" t="s">
        <v>10</v>
      </c>
      <c r="D73" t="s">
        <v>18</v>
      </c>
      <c r="E73" t="s">
        <v>22</v>
      </c>
      <c r="F73" s="7">
        <v>5830</v>
      </c>
      <c r="G73" s="7">
        <f>SalesData[[#This Row],[Cost]]*SalesData[[#This Row],[Units Sold]]</f>
        <v>11660</v>
      </c>
      <c r="H73">
        <v>2</v>
      </c>
      <c r="I73" s="7">
        <v>10000</v>
      </c>
      <c r="J73" s="7">
        <f>SalesData[[#This Row],[Units Sold]]*SalesData[[#This Row],[Unit Price]]</f>
        <v>20000</v>
      </c>
      <c r="K73" s="7">
        <f>SalesData[[#This Row],[Unit Price]]-SalesData[[#This Row],[Cost]]</f>
        <v>4170</v>
      </c>
      <c r="L73" s="7">
        <f>SalesData[[#This Row],[Total Sales]]-SalesData[[#This Row],[Total Cost]]</f>
        <v>8340</v>
      </c>
    </row>
    <row r="74" spans="1:12" x14ac:dyDescent="0.3">
      <c r="A74" s="1">
        <v>45761</v>
      </c>
      <c r="B74" s="1" t="str">
        <f>TEXT(SalesData[[#This Row],[Date]],"MMM")</f>
        <v>Apr</v>
      </c>
      <c r="C74" t="s">
        <v>10</v>
      </c>
      <c r="D74" t="s">
        <v>8</v>
      </c>
      <c r="E74" t="s">
        <v>19</v>
      </c>
      <c r="F74" s="7">
        <v>5181</v>
      </c>
      <c r="G74" s="7">
        <f>SalesData[[#This Row],[Cost]]*SalesData[[#This Row],[Units Sold]]</f>
        <v>20724</v>
      </c>
      <c r="H74">
        <v>4</v>
      </c>
      <c r="I74" s="7">
        <v>80000</v>
      </c>
      <c r="J74" s="7">
        <f>SalesData[[#This Row],[Units Sold]]*SalesData[[#This Row],[Unit Price]]</f>
        <v>320000</v>
      </c>
      <c r="K74" s="7">
        <f>SalesData[[#This Row],[Unit Price]]-SalesData[[#This Row],[Cost]]</f>
        <v>74819</v>
      </c>
      <c r="L74" s="7">
        <f>SalesData[[#This Row],[Total Sales]]-SalesData[[#This Row],[Total Cost]]</f>
        <v>299276</v>
      </c>
    </row>
    <row r="75" spans="1:12" x14ac:dyDescent="0.3">
      <c r="A75" s="1">
        <v>45761</v>
      </c>
      <c r="B75" s="1" t="str">
        <f>TEXT(SalesData[[#This Row],[Date]],"MMM")</f>
        <v>Apr</v>
      </c>
      <c r="C75" t="s">
        <v>10</v>
      </c>
      <c r="D75" t="s">
        <v>8</v>
      </c>
      <c r="E75" t="s">
        <v>12</v>
      </c>
      <c r="F75" s="7">
        <v>4531</v>
      </c>
      <c r="G75" s="7">
        <f>SalesData[[#This Row],[Cost]]*SalesData[[#This Row],[Units Sold]]</f>
        <v>54372</v>
      </c>
      <c r="H75">
        <v>12</v>
      </c>
      <c r="I75" s="7">
        <v>80000</v>
      </c>
      <c r="J75" s="7">
        <f>SalesData[[#This Row],[Units Sold]]*SalesData[[#This Row],[Unit Price]]</f>
        <v>960000</v>
      </c>
      <c r="K75" s="7">
        <f>SalesData[[#This Row],[Unit Price]]-SalesData[[#This Row],[Cost]]</f>
        <v>75469</v>
      </c>
      <c r="L75" s="7">
        <f>SalesData[[#This Row],[Total Sales]]-SalesData[[#This Row],[Total Cost]]</f>
        <v>905628</v>
      </c>
    </row>
    <row r="76" spans="1:12" x14ac:dyDescent="0.3">
      <c r="A76" s="1">
        <v>45761</v>
      </c>
      <c r="B76" s="1" t="str">
        <f>TEXT(SalesData[[#This Row],[Date]],"MMM")</f>
        <v>Apr</v>
      </c>
      <c r="C76" t="s">
        <v>20</v>
      </c>
      <c r="D76" t="s">
        <v>21</v>
      </c>
      <c r="E76" t="s">
        <v>16</v>
      </c>
      <c r="F76" s="7">
        <v>3881</v>
      </c>
      <c r="G76" s="7">
        <f>SalesData[[#This Row],[Cost]]*SalesData[[#This Row],[Units Sold]]</f>
        <v>62096</v>
      </c>
      <c r="H76">
        <v>16</v>
      </c>
      <c r="I76" s="7">
        <v>80000</v>
      </c>
      <c r="J76" s="7">
        <f>SalesData[[#This Row],[Units Sold]]*SalesData[[#This Row],[Unit Price]]</f>
        <v>1280000</v>
      </c>
      <c r="K76" s="7">
        <f>SalesData[[#This Row],[Unit Price]]-SalesData[[#This Row],[Cost]]</f>
        <v>76119</v>
      </c>
      <c r="L76" s="7">
        <f>SalesData[[#This Row],[Total Sales]]-SalesData[[#This Row],[Total Cost]]</f>
        <v>1217904</v>
      </c>
    </row>
    <row r="77" spans="1:12" x14ac:dyDescent="0.3">
      <c r="A77" s="1">
        <v>45760</v>
      </c>
      <c r="B77" s="1" t="str">
        <f>TEXT(SalesData[[#This Row],[Date]],"MMM")</f>
        <v>Apr</v>
      </c>
      <c r="C77" t="s">
        <v>20</v>
      </c>
      <c r="D77" t="s">
        <v>18</v>
      </c>
      <c r="E77" t="s">
        <v>19</v>
      </c>
      <c r="F77" s="7">
        <v>3232</v>
      </c>
      <c r="G77" s="7">
        <f>SalesData[[#This Row],[Cost]]*SalesData[[#This Row],[Units Sold]]</f>
        <v>12928</v>
      </c>
      <c r="H77">
        <v>4</v>
      </c>
      <c r="I77" s="7">
        <v>5000</v>
      </c>
      <c r="J77" s="7">
        <f>SalesData[[#This Row],[Units Sold]]*SalesData[[#This Row],[Unit Price]]</f>
        <v>20000</v>
      </c>
      <c r="K77" s="7">
        <f>SalesData[[#This Row],[Unit Price]]-SalesData[[#This Row],[Cost]]</f>
        <v>1768</v>
      </c>
      <c r="L77" s="7">
        <f>SalesData[[#This Row],[Total Sales]]-SalesData[[#This Row],[Total Cost]]</f>
        <v>7072</v>
      </c>
    </row>
    <row r="78" spans="1:12" x14ac:dyDescent="0.3">
      <c r="A78" s="1">
        <v>45760</v>
      </c>
      <c r="B78" s="1" t="str">
        <f>TEXT(SalesData[[#This Row],[Date]],"MMM")</f>
        <v>Apr</v>
      </c>
      <c r="C78" t="s">
        <v>20</v>
      </c>
      <c r="D78" t="s">
        <v>8</v>
      </c>
      <c r="E78" t="s">
        <v>16</v>
      </c>
      <c r="F78" s="7">
        <v>2582</v>
      </c>
      <c r="G78" s="7">
        <f>SalesData[[#This Row],[Cost]]*SalesData[[#This Row],[Units Sold]]</f>
        <v>43894</v>
      </c>
      <c r="H78">
        <v>17</v>
      </c>
      <c r="I78" s="7">
        <v>5000</v>
      </c>
      <c r="J78" s="7">
        <f>SalesData[[#This Row],[Units Sold]]*SalesData[[#This Row],[Unit Price]]</f>
        <v>85000</v>
      </c>
      <c r="K78" s="7">
        <f>SalesData[[#This Row],[Unit Price]]-SalesData[[#This Row],[Cost]]</f>
        <v>2418</v>
      </c>
      <c r="L78" s="7">
        <f>SalesData[[#This Row],[Total Sales]]-SalesData[[#This Row],[Total Cost]]</f>
        <v>41106</v>
      </c>
    </row>
    <row r="79" spans="1:12" x14ac:dyDescent="0.3">
      <c r="A79" s="1">
        <v>45758</v>
      </c>
      <c r="B79" s="1" t="str">
        <f>TEXT(SalesData[[#This Row],[Date]],"MMM")</f>
        <v>Apr</v>
      </c>
      <c r="C79" t="s">
        <v>10</v>
      </c>
      <c r="D79" t="s">
        <v>8</v>
      </c>
      <c r="E79" t="s">
        <v>16</v>
      </c>
      <c r="F79" s="7">
        <v>1932</v>
      </c>
      <c r="G79" s="7">
        <f>SalesData[[#This Row],[Cost]]*SalesData[[#This Row],[Units Sold]]</f>
        <v>17388</v>
      </c>
      <c r="H79">
        <v>9</v>
      </c>
      <c r="I79" s="7">
        <v>120000</v>
      </c>
      <c r="J79" s="7">
        <f>SalesData[[#This Row],[Units Sold]]*SalesData[[#This Row],[Unit Price]]</f>
        <v>1080000</v>
      </c>
      <c r="K79" s="7">
        <f>SalesData[[#This Row],[Unit Price]]-SalesData[[#This Row],[Cost]]</f>
        <v>118068</v>
      </c>
      <c r="L79" s="7">
        <f>SalesData[[#This Row],[Total Sales]]-SalesData[[#This Row],[Total Cost]]</f>
        <v>1062612</v>
      </c>
    </row>
    <row r="80" spans="1:12" x14ac:dyDescent="0.3">
      <c r="A80" s="1">
        <v>45774</v>
      </c>
      <c r="B80" s="1" t="str">
        <f>TEXT(SalesData[[#This Row],[Date]],"MMM")</f>
        <v>Apr</v>
      </c>
      <c r="C80" t="s">
        <v>10</v>
      </c>
      <c r="D80" t="s">
        <v>8</v>
      </c>
      <c r="E80" t="s">
        <v>16</v>
      </c>
      <c r="F80" s="7">
        <v>1932</v>
      </c>
      <c r="G80" s="7">
        <f>SalesData[[#This Row],[Cost]]*SalesData[[#This Row],[Units Sold]]</f>
        <v>34776</v>
      </c>
      <c r="H80">
        <v>18</v>
      </c>
      <c r="I80" s="7">
        <v>5000</v>
      </c>
      <c r="J80" s="7">
        <f>SalesData[[#This Row],[Units Sold]]*SalesData[[#This Row],[Unit Price]]</f>
        <v>90000</v>
      </c>
      <c r="K80" s="7">
        <f>SalesData[[#This Row],[Unit Price]]-SalesData[[#This Row],[Cost]]</f>
        <v>3068</v>
      </c>
      <c r="L80" s="7">
        <f>SalesData[[#This Row],[Total Sales]]-SalesData[[#This Row],[Total Cost]]</f>
        <v>55224</v>
      </c>
    </row>
    <row r="81" spans="1:12" x14ac:dyDescent="0.3">
      <c r="A81" s="1">
        <v>45757</v>
      </c>
      <c r="B81" s="1" t="str">
        <f>TEXT(SalesData[[#This Row],[Date]],"MMM")</f>
        <v>Apr</v>
      </c>
      <c r="C81" t="s">
        <v>20</v>
      </c>
      <c r="D81" t="s">
        <v>18</v>
      </c>
      <c r="E81" t="s">
        <v>9</v>
      </c>
      <c r="F81" s="7">
        <v>1282</v>
      </c>
      <c r="G81" s="7">
        <f>SalesData[[#This Row],[Cost]]*SalesData[[#This Row],[Units Sold]]</f>
        <v>6410</v>
      </c>
      <c r="H81">
        <v>5</v>
      </c>
      <c r="I81" s="7">
        <v>350000</v>
      </c>
      <c r="J81" s="7">
        <f>SalesData[[#This Row],[Units Sold]]*SalesData[[#This Row],[Unit Price]]</f>
        <v>1750000</v>
      </c>
      <c r="K81" s="7">
        <f>SalesData[[#This Row],[Unit Price]]-SalesData[[#This Row],[Cost]]</f>
        <v>348718</v>
      </c>
      <c r="L81" s="7">
        <f>SalesData[[#This Row],[Total Sales]]-SalesData[[#This Row],[Total Cost]]</f>
        <v>1743590</v>
      </c>
    </row>
    <row r="82" spans="1:12" x14ac:dyDescent="0.3">
      <c r="A82" s="1">
        <v>45756</v>
      </c>
      <c r="B82" s="1" t="str">
        <f>TEXT(SalesData[[#This Row],[Date]],"MMM")</f>
        <v>Apr</v>
      </c>
      <c r="C82" t="s">
        <v>7</v>
      </c>
      <c r="D82" t="s">
        <v>21</v>
      </c>
      <c r="E82" t="s">
        <v>16</v>
      </c>
      <c r="F82" s="7">
        <v>633</v>
      </c>
      <c r="G82" s="7">
        <f>SalesData[[#This Row],[Cost]]*SalesData[[#This Row],[Units Sold]]</f>
        <v>6330</v>
      </c>
      <c r="H82">
        <v>10</v>
      </c>
      <c r="I82" s="7">
        <v>350000</v>
      </c>
      <c r="J82" s="7">
        <f>SalesData[[#This Row],[Units Sold]]*SalesData[[#This Row],[Unit Price]]</f>
        <v>3500000</v>
      </c>
      <c r="K82" s="7">
        <f>SalesData[[#This Row],[Unit Price]]-SalesData[[#This Row],[Cost]]</f>
        <v>349367</v>
      </c>
      <c r="L82" s="7">
        <f>SalesData[[#This Row],[Total Sales]]-SalesData[[#This Row],[Total Cost]]</f>
        <v>3493670</v>
      </c>
    </row>
    <row r="83" spans="1:12" x14ac:dyDescent="0.3">
      <c r="A83" s="1">
        <v>45752</v>
      </c>
      <c r="B83" s="1" t="str">
        <f>TEXT(SalesData[[#This Row],[Date]],"MMM")</f>
        <v>Apr</v>
      </c>
      <c r="C83" t="s">
        <v>20</v>
      </c>
      <c r="D83" t="s">
        <v>11</v>
      </c>
      <c r="E83" t="s">
        <v>15</v>
      </c>
      <c r="F83" s="7">
        <v>17</v>
      </c>
      <c r="G83" s="7">
        <f>SalesData[[#This Row],[Cost]]*SalesData[[#This Row],[Units Sold]]</f>
        <v>136</v>
      </c>
      <c r="H83">
        <v>8</v>
      </c>
      <c r="I83" s="7">
        <v>10000</v>
      </c>
      <c r="J83" s="7">
        <f>SalesData[[#This Row],[Units Sold]]*SalesData[[#This Row],[Unit Price]]</f>
        <v>80000</v>
      </c>
      <c r="K83" s="7">
        <f>SalesData[[#This Row],[Unit Price]]-SalesData[[#This Row],[Cost]]</f>
        <v>9983</v>
      </c>
      <c r="L83" s="7">
        <f>SalesData[[#This Row],[Total Sales]]-SalesData[[#This Row],[Total Cost]]</f>
        <v>79864</v>
      </c>
    </row>
    <row r="84" spans="1:12" x14ac:dyDescent="0.3">
      <c r="A84" s="1">
        <v>45750</v>
      </c>
      <c r="B84" s="1" t="str">
        <f>TEXT(SalesData[[#This Row],[Date]],"MMM")</f>
        <v>Apr</v>
      </c>
      <c r="C84" t="s">
        <v>20</v>
      </c>
      <c r="D84" t="s">
        <v>18</v>
      </c>
      <c r="E84" t="s">
        <v>16</v>
      </c>
      <c r="F84" s="7">
        <v>667</v>
      </c>
      <c r="G84" s="7">
        <f>SalesData[[#This Row],[Cost]]*SalesData[[#This Row],[Units Sold]]</f>
        <v>2001</v>
      </c>
      <c r="H84">
        <v>3</v>
      </c>
      <c r="I84" s="7">
        <v>80000</v>
      </c>
      <c r="J84" s="7">
        <f>SalesData[[#This Row],[Units Sold]]*SalesData[[#This Row],[Unit Price]]</f>
        <v>240000</v>
      </c>
      <c r="K84" s="7">
        <f>SalesData[[#This Row],[Unit Price]]-SalesData[[#This Row],[Cost]]</f>
        <v>79333</v>
      </c>
      <c r="L84" s="7">
        <f>SalesData[[#This Row],[Total Sales]]-SalesData[[#This Row],[Total Cost]]</f>
        <v>237999</v>
      </c>
    </row>
    <row r="85" spans="1:12" x14ac:dyDescent="0.3">
      <c r="A85" s="1">
        <v>45749</v>
      </c>
      <c r="B85" s="1" t="str">
        <f>TEXT(SalesData[[#This Row],[Date]],"MMM")</f>
        <v>Apr</v>
      </c>
      <c r="C85" t="s">
        <v>13</v>
      </c>
      <c r="D85" t="s">
        <v>8</v>
      </c>
      <c r="E85" t="s">
        <v>22</v>
      </c>
      <c r="F85" s="7">
        <v>4000</v>
      </c>
      <c r="G85" s="7">
        <f>SalesData[[#This Row],[Cost]]*SalesData[[#This Row],[Units Sold]]</f>
        <v>28000</v>
      </c>
      <c r="H85">
        <v>7</v>
      </c>
      <c r="I85" s="7">
        <v>10000</v>
      </c>
      <c r="J85" s="7">
        <f>SalesData[[#This Row],[Units Sold]]*SalesData[[#This Row],[Unit Price]]</f>
        <v>70000</v>
      </c>
      <c r="K85" s="7">
        <f>SalesData[[#This Row],[Unit Price]]-SalesData[[#This Row],[Cost]]</f>
        <v>6000</v>
      </c>
      <c r="L85" s="7">
        <f>SalesData[[#This Row],[Total Sales]]-SalesData[[#This Row],[Total Cost]]</f>
        <v>42000</v>
      </c>
    </row>
    <row r="86" spans="1:12" x14ac:dyDescent="0.3">
      <c r="A86" s="1">
        <v>45779</v>
      </c>
      <c r="B86" s="1" t="str">
        <f>TEXT(SalesData[[#This Row],[Date]],"MMM")</f>
        <v>May</v>
      </c>
      <c r="C86" t="s">
        <v>7</v>
      </c>
      <c r="D86" t="s">
        <v>11</v>
      </c>
      <c r="E86" t="s">
        <v>12</v>
      </c>
      <c r="F86" s="7">
        <v>2582</v>
      </c>
      <c r="G86" s="7">
        <f>SalesData[[#This Row],[Cost]]*SalesData[[#This Row],[Units Sold]]</f>
        <v>18074</v>
      </c>
      <c r="H86">
        <v>7</v>
      </c>
      <c r="I86" s="7">
        <v>5000</v>
      </c>
      <c r="J86" s="7">
        <f>SalesData[[#This Row],[Units Sold]]*SalesData[[#This Row],[Unit Price]]</f>
        <v>35000</v>
      </c>
      <c r="K86" s="7">
        <f>SalesData[[#This Row],[Unit Price]]-SalesData[[#This Row],[Cost]]</f>
        <v>2418</v>
      </c>
      <c r="L86" s="7">
        <f>SalesData[[#This Row],[Total Sales]]-SalesData[[#This Row],[Total Cost]]</f>
        <v>16926</v>
      </c>
    </row>
    <row r="87" spans="1:12" x14ac:dyDescent="0.3">
      <c r="A87" s="1">
        <v>45803</v>
      </c>
      <c r="B87" s="1" t="str">
        <f>TEXT(SalesData[[#This Row],[Date]],"MMM")</f>
        <v>May</v>
      </c>
      <c r="C87" t="s">
        <v>10</v>
      </c>
      <c r="D87" t="s">
        <v>17</v>
      </c>
      <c r="E87" t="s">
        <v>15</v>
      </c>
      <c r="F87" s="7">
        <v>2582</v>
      </c>
      <c r="G87" s="7">
        <f>SalesData[[#This Row],[Cost]]*SalesData[[#This Row],[Units Sold]]</f>
        <v>30984</v>
      </c>
      <c r="H87">
        <v>12</v>
      </c>
      <c r="I87" s="7">
        <v>80000</v>
      </c>
      <c r="J87" s="7">
        <f>SalesData[[#This Row],[Units Sold]]*SalesData[[#This Row],[Unit Price]]</f>
        <v>960000</v>
      </c>
      <c r="K87" s="7">
        <f>SalesData[[#This Row],[Unit Price]]-SalesData[[#This Row],[Cost]]</f>
        <v>77418</v>
      </c>
      <c r="L87" s="7">
        <f>SalesData[[#This Row],[Total Sales]]-SalesData[[#This Row],[Total Cost]]</f>
        <v>929016</v>
      </c>
    </row>
    <row r="88" spans="1:12" x14ac:dyDescent="0.3">
      <c r="A88" s="1">
        <v>45796</v>
      </c>
      <c r="B88" s="1" t="str">
        <f>TEXT(SalesData[[#This Row],[Date]],"MMM")</f>
        <v>May</v>
      </c>
      <c r="C88" t="s">
        <v>7</v>
      </c>
      <c r="D88" t="s">
        <v>11</v>
      </c>
      <c r="E88" t="s">
        <v>9</v>
      </c>
      <c r="F88" s="7">
        <v>1932</v>
      </c>
      <c r="G88" s="7">
        <f>SalesData[[#This Row],[Cost]]*SalesData[[#This Row],[Units Sold]]</f>
        <v>28980</v>
      </c>
      <c r="H88">
        <v>15</v>
      </c>
      <c r="I88" s="7">
        <v>80000</v>
      </c>
      <c r="J88" s="7">
        <f>SalesData[[#This Row],[Units Sold]]*SalesData[[#This Row],[Unit Price]]</f>
        <v>1200000</v>
      </c>
      <c r="K88" s="7">
        <f>SalesData[[#This Row],[Unit Price]]-SalesData[[#This Row],[Cost]]</f>
        <v>78068</v>
      </c>
      <c r="L88" s="7">
        <f>SalesData[[#This Row],[Total Sales]]-SalesData[[#This Row],[Total Cost]]</f>
        <v>1171020</v>
      </c>
    </row>
    <row r="89" spans="1:12" x14ac:dyDescent="0.3">
      <c r="A89" s="1">
        <v>45793</v>
      </c>
      <c r="B89" s="1" t="str">
        <f>TEXT(SalesData[[#This Row],[Date]],"MMM")</f>
        <v>May</v>
      </c>
      <c r="C89" t="s">
        <v>7</v>
      </c>
      <c r="D89" t="s">
        <v>8</v>
      </c>
      <c r="E89" t="s">
        <v>12</v>
      </c>
      <c r="F89" s="7">
        <v>1282</v>
      </c>
      <c r="G89" s="7">
        <f>SalesData[[#This Row],[Cost]]*SalesData[[#This Row],[Units Sold]]</f>
        <v>6410</v>
      </c>
      <c r="H89">
        <v>5</v>
      </c>
      <c r="I89" s="7">
        <v>15000</v>
      </c>
      <c r="J89" s="7">
        <f>SalesData[[#This Row],[Units Sold]]*SalesData[[#This Row],[Unit Price]]</f>
        <v>75000</v>
      </c>
      <c r="K89" s="7">
        <f>SalesData[[#This Row],[Unit Price]]-SalesData[[#This Row],[Cost]]</f>
        <v>13718</v>
      </c>
      <c r="L89" s="7">
        <f>SalesData[[#This Row],[Total Sales]]-SalesData[[#This Row],[Total Cost]]</f>
        <v>68590</v>
      </c>
    </row>
    <row r="90" spans="1:12" x14ac:dyDescent="0.3">
      <c r="A90" s="1">
        <v>45793</v>
      </c>
      <c r="B90" s="1" t="str">
        <f>TEXT(SalesData[[#This Row],[Date]],"MMM")</f>
        <v>May</v>
      </c>
      <c r="C90" t="s">
        <v>13</v>
      </c>
      <c r="D90" t="s">
        <v>18</v>
      </c>
      <c r="E90" t="s">
        <v>16</v>
      </c>
      <c r="F90" s="7">
        <v>633</v>
      </c>
      <c r="G90" s="7">
        <f>SalesData[[#This Row],[Cost]]*SalesData[[#This Row],[Units Sold]]</f>
        <v>633</v>
      </c>
      <c r="H90">
        <v>1</v>
      </c>
      <c r="I90" s="7">
        <v>350000</v>
      </c>
      <c r="J90" s="7">
        <f>SalesData[[#This Row],[Units Sold]]*SalesData[[#This Row],[Unit Price]]</f>
        <v>350000</v>
      </c>
      <c r="K90" s="7">
        <f>SalesData[[#This Row],[Unit Price]]-SalesData[[#This Row],[Cost]]</f>
        <v>349367</v>
      </c>
      <c r="L90" s="7">
        <f>SalesData[[#This Row],[Total Sales]]-SalesData[[#This Row],[Total Cost]]</f>
        <v>349367</v>
      </c>
    </row>
    <row r="91" spans="1:12" x14ac:dyDescent="0.3">
      <c r="A91" s="1">
        <v>45792</v>
      </c>
      <c r="B91" s="1" t="str">
        <f>TEXT(SalesData[[#This Row],[Date]],"MMM")</f>
        <v>May</v>
      </c>
      <c r="C91" t="s">
        <v>10</v>
      </c>
      <c r="D91" t="s">
        <v>18</v>
      </c>
      <c r="E91" t="s">
        <v>9</v>
      </c>
      <c r="F91" s="7">
        <v>17</v>
      </c>
      <c r="G91" s="7">
        <f>SalesData[[#This Row],[Cost]]*SalesData[[#This Row],[Units Sold]]</f>
        <v>153</v>
      </c>
      <c r="H91">
        <v>9</v>
      </c>
      <c r="I91" s="7">
        <v>10000</v>
      </c>
      <c r="J91" s="7">
        <f>SalesData[[#This Row],[Units Sold]]*SalesData[[#This Row],[Unit Price]]</f>
        <v>90000</v>
      </c>
      <c r="K91" s="7">
        <f>SalesData[[#This Row],[Unit Price]]-SalesData[[#This Row],[Cost]]</f>
        <v>9983</v>
      </c>
      <c r="L91" s="7">
        <f>SalesData[[#This Row],[Total Sales]]-SalesData[[#This Row],[Total Cost]]</f>
        <v>89847</v>
      </c>
    </row>
    <row r="92" spans="1:12" x14ac:dyDescent="0.3">
      <c r="A92" s="1">
        <v>45792</v>
      </c>
      <c r="B92" s="1" t="str">
        <f>TEXT(SalesData[[#This Row],[Date]],"MMM")</f>
        <v>May</v>
      </c>
      <c r="C92" t="s">
        <v>20</v>
      </c>
      <c r="D92" t="s">
        <v>8</v>
      </c>
      <c r="E92" t="s">
        <v>9</v>
      </c>
      <c r="F92" s="7">
        <v>667</v>
      </c>
      <c r="G92" s="7">
        <f>SalesData[[#This Row],[Cost]]*SalesData[[#This Row],[Units Sold]]</f>
        <v>11339</v>
      </c>
      <c r="H92">
        <v>17</v>
      </c>
      <c r="I92" s="7">
        <v>5000</v>
      </c>
      <c r="J92" s="7">
        <f>SalesData[[#This Row],[Units Sold]]*SalesData[[#This Row],[Unit Price]]</f>
        <v>85000</v>
      </c>
      <c r="K92" s="7">
        <f>SalesData[[#This Row],[Unit Price]]-SalesData[[#This Row],[Cost]]</f>
        <v>4333</v>
      </c>
      <c r="L92" s="7">
        <f>SalesData[[#This Row],[Total Sales]]-SalesData[[#This Row],[Total Cost]]</f>
        <v>73661</v>
      </c>
    </row>
    <row r="93" spans="1:12" x14ac:dyDescent="0.3">
      <c r="A93" s="1">
        <v>45780</v>
      </c>
      <c r="B93" s="1" t="str">
        <f>TEXT(SalesData[[#This Row],[Date]],"MMM")</f>
        <v>May</v>
      </c>
      <c r="C93" t="s">
        <v>20</v>
      </c>
      <c r="D93" t="s">
        <v>17</v>
      </c>
      <c r="E93" t="s">
        <v>16</v>
      </c>
      <c r="F93" s="7">
        <v>1000</v>
      </c>
      <c r="G93" s="7">
        <f>SalesData[[#This Row],[Cost]]*SalesData[[#This Row],[Units Sold]]</f>
        <v>15000</v>
      </c>
      <c r="H93">
        <v>15</v>
      </c>
      <c r="I93" s="7">
        <v>15000</v>
      </c>
      <c r="J93" s="7">
        <f>SalesData[[#This Row],[Units Sold]]*SalesData[[#This Row],[Unit Price]]</f>
        <v>225000</v>
      </c>
      <c r="K93" s="7">
        <f>SalesData[[#This Row],[Unit Price]]-SalesData[[#This Row],[Cost]]</f>
        <v>14000</v>
      </c>
      <c r="L93" s="7">
        <f>SalesData[[#This Row],[Total Sales]]-SalesData[[#This Row],[Total Cost]]</f>
        <v>210000</v>
      </c>
    </row>
    <row r="94" spans="1:12" x14ac:dyDescent="0.3">
      <c r="A94" s="1">
        <v>45789</v>
      </c>
      <c r="B94" s="1" t="str">
        <f>TEXT(SalesData[[#This Row],[Date]],"MMM")</f>
        <v>May</v>
      </c>
      <c r="C94" t="s">
        <v>20</v>
      </c>
      <c r="D94" t="s">
        <v>17</v>
      </c>
      <c r="E94" t="s">
        <v>19</v>
      </c>
      <c r="F94" s="7">
        <v>1300</v>
      </c>
      <c r="G94" s="7">
        <f>SalesData[[#This Row],[Cost]]*SalesData[[#This Row],[Units Sold]]</f>
        <v>1300</v>
      </c>
      <c r="H94">
        <v>1</v>
      </c>
      <c r="I94" s="7">
        <v>15000</v>
      </c>
      <c r="J94" s="7">
        <f>SalesData[[#This Row],[Units Sold]]*SalesData[[#This Row],[Unit Price]]</f>
        <v>15000</v>
      </c>
      <c r="K94" s="7">
        <f>SalesData[[#This Row],[Unit Price]]-SalesData[[#This Row],[Cost]]</f>
        <v>13700</v>
      </c>
      <c r="L94" s="7">
        <f>SalesData[[#This Row],[Total Sales]]-SalesData[[#This Row],[Total Cost]]</f>
        <v>13700</v>
      </c>
    </row>
    <row r="95" spans="1:12" x14ac:dyDescent="0.3">
      <c r="A95" s="1">
        <v>45807</v>
      </c>
      <c r="B95" s="1" t="str">
        <f>TEXT(SalesData[[#This Row],[Date]],"MMM")</f>
        <v>May</v>
      </c>
      <c r="C95" t="s">
        <v>13</v>
      </c>
      <c r="D95" t="s">
        <v>18</v>
      </c>
      <c r="E95" t="s">
        <v>12</v>
      </c>
      <c r="F95" s="7">
        <v>1300</v>
      </c>
      <c r="G95" s="7">
        <f>SalesData[[#This Row],[Cost]]*SalesData[[#This Row],[Units Sold]]</f>
        <v>1300</v>
      </c>
      <c r="H95">
        <v>1</v>
      </c>
      <c r="I95" s="7">
        <v>350000</v>
      </c>
      <c r="J95" s="7">
        <f>SalesData[[#This Row],[Units Sold]]*SalesData[[#This Row],[Unit Price]]</f>
        <v>350000</v>
      </c>
      <c r="K95" s="7">
        <f>SalesData[[#This Row],[Unit Price]]-SalesData[[#This Row],[Cost]]</f>
        <v>348700</v>
      </c>
      <c r="L95" s="7">
        <f>SalesData[[#This Row],[Total Sales]]-SalesData[[#This Row],[Total Cost]]</f>
        <v>348700</v>
      </c>
    </row>
    <row r="96" spans="1:12" x14ac:dyDescent="0.3">
      <c r="A96" s="1">
        <v>45787</v>
      </c>
      <c r="B96" s="1" t="str">
        <f>TEXT(SalesData[[#This Row],[Date]],"MMM")</f>
        <v>May</v>
      </c>
      <c r="C96" t="s">
        <v>13</v>
      </c>
      <c r="D96" t="s">
        <v>11</v>
      </c>
      <c r="E96" t="s">
        <v>15</v>
      </c>
      <c r="F96" s="7">
        <v>1500</v>
      </c>
      <c r="G96" s="7">
        <f>SalesData[[#This Row],[Cost]]*SalesData[[#This Row],[Units Sold]]</f>
        <v>15000</v>
      </c>
      <c r="H96">
        <v>10</v>
      </c>
      <c r="I96" s="7">
        <v>80000</v>
      </c>
      <c r="J96" s="7">
        <f>SalesData[[#This Row],[Units Sold]]*SalesData[[#This Row],[Unit Price]]</f>
        <v>800000</v>
      </c>
      <c r="K96" s="7">
        <f>SalesData[[#This Row],[Unit Price]]-SalesData[[#This Row],[Cost]]</f>
        <v>78500</v>
      </c>
      <c r="L96" s="7">
        <f>SalesData[[#This Row],[Total Sales]]-SalesData[[#This Row],[Total Cost]]</f>
        <v>785000</v>
      </c>
    </row>
    <row r="97" spans="1:12" x14ac:dyDescent="0.3">
      <c r="A97" s="1">
        <v>45788</v>
      </c>
      <c r="B97" s="1" t="str">
        <f>TEXT(SalesData[[#This Row],[Date]],"MMM")</f>
        <v>May</v>
      </c>
      <c r="C97" t="s">
        <v>13</v>
      </c>
      <c r="D97" t="s">
        <v>8</v>
      </c>
      <c r="E97" t="s">
        <v>9</v>
      </c>
      <c r="F97" s="7">
        <v>2000</v>
      </c>
      <c r="G97" s="7">
        <f>SalesData[[#This Row],[Cost]]*SalesData[[#This Row],[Units Sold]]</f>
        <v>34000</v>
      </c>
      <c r="H97">
        <v>17</v>
      </c>
      <c r="I97" s="7">
        <v>80000</v>
      </c>
      <c r="J97" s="7">
        <f>SalesData[[#This Row],[Units Sold]]*SalesData[[#This Row],[Unit Price]]</f>
        <v>1360000</v>
      </c>
      <c r="K97" s="7">
        <f>SalesData[[#This Row],[Unit Price]]-SalesData[[#This Row],[Cost]]</f>
        <v>78000</v>
      </c>
      <c r="L97" s="7">
        <f>SalesData[[#This Row],[Total Sales]]-SalesData[[#This Row],[Total Cost]]</f>
        <v>1326000</v>
      </c>
    </row>
    <row r="98" spans="1:12" x14ac:dyDescent="0.3">
      <c r="A98" s="1">
        <v>45787</v>
      </c>
      <c r="B98" s="1" t="str">
        <f>TEXT(SalesData[[#This Row],[Date]],"MMM")</f>
        <v>May</v>
      </c>
      <c r="C98" t="s">
        <v>10</v>
      </c>
      <c r="D98" t="s">
        <v>17</v>
      </c>
      <c r="E98" t="s">
        <v>16</v>
      </c>
      <c r="F98" s="7">
        <v>2100</v>
      </c>
      <c r="G98" s="7">
        <f>SalesData[[#This Row],[Cost]]*SalesData[[#This Row],[Units Sold]]</f>
        <v>10500</v>
      </c>
      <c r="H98">
        <v>5</v>
      </c>
      <c r="I98" s="7">
        <v>10000</v>
      </c>
      <c r="J98" s="7">
        <f>SalesData[[#This Row],[Units Sold]]*SalesData[[#This Row],[Unit Price]]</f>
        <v>50000</v>
      </c>
      <c r="K98" s="7">
        <f>SalesData[[#This Row],[Unit Price]]-SalesData[[#This Row],[Cost]]</f>
        <v>7900</v>
      </c>
      <c r="L98" s="7">
        <f>SalesData[[#This Row],[Total Sales]]-SalesData[[#This Row],[Total Cost]]</f>
        <v>39500</v>
      </c>
    </row>
    <row r="99" spans="1:12" x14ac:dyDescent="0.3">
      <c r="A99" s="1">
        <v>45789</v>
      </c>
      <c r="B99" s="1" t="str">
        <f>TEXT(SalesData[[#This Row],[Date]],"MMM")</f>
        <v>May</v>
      </c>
      <c r="C99" t="s">
        <v>7</v>
      </c>
      <c r="D99" t="s">
        <v>14</v>
      </c>
      <c r="E99" t="s">
        <v>15</v>
      </c>
      <c r="F99" s="7">
        <v>2500</v>
      </c>
      <c r="G99" s="7">
        <f>SalesData[[#This Row],[Cost]]*SalesData[[#This Row],[Units Sold]]</f>
        <v>30000</v>
      </c>
      <c r="H99">
        <v>12</v>
      </c>
      <c r="I99" s="7">
        <v>120000</v>
      </c>
      <c r="J99" s="7">
        <f>SalesData[[#This Row],[Units Sold]]*SalesData[[#This Row],[Unit Price]]</f>
        <v>1440000</v>
      </c>
      <c r="K99" s="7">
        <f>SalesData[[#This Row],[Unit Price]]-SalesData[[#This Row],[Cost]]</f>
        <v>117500</v>
      </c>
      <c r="L99" s="7">
        <f>SalesData[[#This Row],[Total Sales]]-SalesData[[#This Row],[Total Cost]]</f>
        <v>1410000</v>
      </c>
    </row>
    <row r="100" spans="1:12" x14ac:dyDescent="0.3">
      <c r="A100" s="1">
        <v>45786</v>
      </c>
      <c r="B100" s="1" t="str">
        <f>TEXT(SalesData[[#This Row],[Date]],"MMM")</f>
        <v>May</v>
      </c>
      <c r="C100" t="s">
        <v>10</v>
      </c>
      <c r="D100" t="s">
        <v>8</v>
      </c>
      <c r="E100" t="s">
        <v>12</v>
      </c>
      <c r="F100" s="7">
        <v>3000</v>
      </c>
      <c r="G100" s="7">
        <f>SalesData[[#This Row],[Cost]]*SalesData[[#This Row],[Units Sold]]</f>
        <v>42000</v>
      </c>
      <c r="H100">
        <v>14</v>
      </c>
      <c r="I100" s="7">
        <v>5000</v>
      </c>
      <c r="J100" s="7">
        <f>SalesData[[#This Row],[Units Sold]]*SalesData[[#This Row],[Unit Price]]</f>
        <v>70000</v>
      </c>
      <c r="K100" s="7">
        <f>SalesData[[#This Row],[Unit Price]]-SalesData[[#This Row],[Cost]]</f>
        <v>2000</v>
      </c>
      <c r="L100" s="7">
        <f>SalesData[[#This Row],[Total Sales]]-SalesData[[#This Row],[Total Cost]]</f>
        <v>28000</v>
      </c>
    </row>
    <row r="101" spans="1:12" x14ac:dyDescent="0.3">
      <c r="A101" s="1">
        <v>45788</v>
      </c>
      <c r="B101" s="1" t="str">
        <f>TEXT(SalesData[[#This Row],[Date]],"MMM")</f>
        <v>May</v>
      </c>
      <c r="C101" t="s">
        <v>7</v>
      </c>
      <c r="D101" t="s">
        <v>14</v>
      </c>
      <c r="E101" t="s">
        <v>22</v>
      </c>
      <c r="F101" s="7">
        <v>4000</v>
      </c>
      <c r="G101" s="7">
        <f>SalesData[[#This Row],[Cost]]*SalesData[[#This Row],[Units Sold]]</f>
        <v>52000</v>
      </c>
      <c r="H101">
        <v>13</v>
      </c>
      <c r="I101" s="7">
        <v>120000</v>
      </c>
      <c r="J101" s="7">
        <f>SalesData[[#This Row],[Units Sold]]*SalesData[[#This Row],[Unit Price]]</f>
        <v>1560000</v>
      </c>
      <c r="K101" s="7">
        <f>SalesData[[#This Row],[Unit Price]]-SalesData[[#This Row],[Cost]]</f>
        <v>116000</v>
      </c>
      <c r="L101" s="7">
        <f>SalesData[[#This Row],[Total Sales]]-SalesData[[#This Row],[Total Cost]]</f>
        <v>1508000</v>
      </c>
    </row>
    <row r="102" spans="1:12" x14ac:dyDescent="0.3">
      <c r="A102" s="1">
        <v>45791</v>
      </c>
      <c r="B102" s="1" t="str">
        <f>TEXT(SalesData[[#This Row],[Date]],"MMM")</f>
        <v>May</v>
      </c>
      <c r="C102" t="s">
        <v>10</v>
      </c>
      <c r="D102" t="s">
        <v>17</v>
      </c>
      <c r="E102" t="s">
        <v>9</v>
      </c>
      <c r="F102" s="7">
        <v>4000</v>
      </c>
      <c r="G102" s="7">
        <f>SalesData[[#This Row],[Cost]]*SalesData[[#This Row],[Units Sold]]</f>
        <v>76000</v>
      </c>
      <c r="H102">
        <v>19</v>
      </c>
      <c r="I102" s="7">
        <v>10000</v>
      </c>
      <c r="J102" s="7">
        <f>SalesData[[#This Row],[Units Sold]]*SalesData[[#This Row],[Unit Price]]</f>
        <v>190000</v>
      </c>
      <c r="K102" s="7">
        <f>SalesData[[#This Row],[Unit Price]]-SalesData[[#This Row],[Cost]]</f>
        <v>6000</v>
      </c>
      <c r="L102" s="7">
        <f>SalesData[[#This Row],[Total Sales]]-SalesData[[#This Row],[Total Cost]]</f>
        <v>114000</v>
      </c>
    </row>
    <row r="103" spans="1:12" x14ac:dyDescent="0.3">
      <c r="A103" s="1">
        <v>45808</v>
      </c>
      <c r="B103" s="1" t="str">
        <f>TEXT(SalesData[[#This Row],[Date]],"MMM")</f>
        <v>May</v>
      </c>
      <c r="C103" t="s">
        <v>7</v>
      </c>
      <c r="D103" t="s">
        <v>17</v>
      </c>
      <c r="E103" t="s">
        <v>15</v>
      </c>
      <c r="F103" s="7">
        <v>4000</v>
      </c>
      <c r="G103" s="7">
        <f>SalesData[[#This Row],[Cost]]*SalesData[[#This Row],[Units Sold]]</f>
        <v>48000</v>
      </c>
      <c r="H103">
        <v>12</v>
      </c>
      <c r="I103" s="7">
        <v>5000</v>
      </c>
      <c r="J103" s="7">
        <f>SalesData[[#This Row],[Units Sold]]*SalesData[[#This Row],[Unit Price]]</f>
        <v>60000</v>
      </c>
      <c r="K103" s="7">
        <f>SalesData[[#This Row],[Unit Price]]-SalesData[[#This Row],[Cost]]</f>
        <v>1000</v>
      </c>
      <c r="L103" s="7">
        <f>SalesData[[#This Row],[Total Sales]]-SalesData[[#This Row],[Total Cost]]</f>
        <v>12000</v>
      </c>
    </row>
    <row r="104" spans="1:12" x14ac:dyDescent="0.3">
      <c r="A104" s="1">
        <v>45781</v>
      </c>
      <c r="B104" s="1" t="str">
        <f>TEXT(SalesData[[#This Row],[Date]],"MMM")</f>
        <v>May</v>
      </c>
      <c r="C104" t="s">
        <v>20</v>
      </c>
      <c r="D104" t="s">
        <v>18</v>
      </c>
      <c r="E104" t="s">
        <v>15</v>
      </c>
      <c r="F104" s="7">
        <v>21000</v>
      </c>
      <c r="G104" s="7">
        <f>SalesData[[#This Row],[Cost]]*SalesData[[#This Row],[Units Sold]]</f>
        <v>21000</v>
      </c>
      <c r="H104">
        <v>1</v>
      </c>
      <c r="I104" s="7">
        <v>5000</v>
      </c>
      <c r="J104" s="7">
        <f>SalesData[[#This Row],[Units Sold]]*SalesData[[#This Row],[Unit Price]]</f>
        <v>5000</v>
      </c>
      <c r="K104" s="7">
        <f>SalesData[[#This Row],[Unit Price]]-SalesData[[#This Row],[Cost]]</f>
        <v>-16000</v>
      </c>
      <c r="L104" s="7">
        <f>SalesData[[#This Row],[Total Sales]]-SalesData[[#This Row],[Total Cost]]</f>
        <v>-16000</v>
      </c>
    </row>
    <row r="105" spans="1:12" x14ac:dyDescent="0.3">
      <c r="A105" s="1">
        <v>45819</v>
      </c>
      <c r="B105" s="1" t="str">
        <f>TEXT(SalesData[[#This Row],[Date]],"MMM")</f>
        <v>Jun</v>
      </c>
      <c r="C105" t="s">
        <v>10</v>
      </c>
      <c r="D105" t="s">
        <v>21</v>
      </c>
      <c r="E105" t="s">
        <v>22</v>
      </c>
      <c r="F105" s="7">
        <v>2582</v>
      </c>
      <c r="G105" s="7">
        <f>SalesData[[#This Row],[Cost]]*SalesData[[#This Row],[Units Sold]]</f>
        <v>7746</v>
      </c>
      <c r="H105">
        <v>3</v>
      </c>
      <c r="I105" s="7">
        <v>80000</v>
      </c>
      <c r="J105" s="7">
        <f>SalesData[[#This Row],[Units Sold]]*SalesData[[#This Row],[Unit Price]]</f>
        <v>240000</v>
      </c>
      <c r="K105" s="7">
        <f>SalesData[[#This Row],[Unit Price]]-SalesData[[#This Row],[Cost]]</f>
        <v>77418</v>
      </c>
      <c r="L105" s="7">
        <f>SalesData[[#This Row],[Total Sales]]-SalesData[[#This Row],[Total Cost]]</f>
        <v>232254</v>
      </c>
    </row>
    <row r="106" spans="1:12" x14ac:dyDescent="0.3">
      <c r="A106" s="1">
        <v>45829</v>
      </c>
      <c r="B106" s="1" t="str">
        <f>TEXT(SalesData[[#This Row],[Date]],"MMM")</f>
        <v>Jun</v>
      </c>
      <c r="C106" t="s">
        <v>20</v>
      </c>
      <c r="D106" t="s">
        <v>18</v>
      </c>
      <c r="E106" t="s">
        <v>9</v>
      </c>
      <c r="F106" s="7">
        <v>2582</v>
      </c>
      <c r="G106" s="7">
        <f>SalesData[[#This Row],[Cost]]*SalesData[[#This Row],[Units Sold]]</f>
        <v>12910</v>
      </c>
      <c r="H106">
        <v>5</v>
      </c>
      <c r="I106" s="7">
        <v>120000</v>
      </c>
      <c r="J106" s="7">
        <f>SalesData[[#This Row],[Units Sold]]*SalesData[[#This Row],[Unit Price]]</f>
        <v>600000</v>
      </c>
      <c r="K106" s="7">
        <f>SalesData[[#This Row],[Unit Price]]-SalesData[[#This Row],[Cost]]</f>
        <v>117418</v>
      </c>
      <c r="L106" s="7">
        <f>SalesData[[#This Row],[Total Sales]]-SalesData[[#This Row],[Total Cost]]</f>
        <v>587090</v>
      </c>
    </row>
    <row r="107" spans="1:12" x14ac:dyDescent="0.3">
      <c r="A107" s="1">
        <v>45818</v>
      </c>
      <c r="B107" s="1" t="str">
        <f>TEXT(SalesData[[#This Row],[Date]],"MMM")</f>
        <v>Jun</v>
      </c>
      <c r="C107" t="s">
        <v>10</v>
      </c>
      <c r="D107" t="s">
        <v>21</v>
      </c>
      <c r="E107" t="s">
        <v>12</v>
      </c>
      <c r="F107" s="7">
        <v>1932</v>
      </c>
      <c r="G107" s="7">
        <f>SalesData[[#This Row],[Cost]]*SalesData[[#This Row],[Units Sold]]</f>
        <v>25116</v>
      </c>
      <c r="H107">
        <v>13</v>
      </c>
      <c r="I107" s="7">
        <v>120000</v>
      </c>
      <c r="J107" s="7">
        <f>SalesData[[#This Row],[Units Sold]]*SalesData[[#This Row],[Unit Price]]</f>
        <v>1560000</v>
      </c>
      <c r="K107" s="7">
        <f>SalesData[[#This Row],[Unit Price]]-SalesData[[#This Row],[Cost]]</f>
        <v>118068</v>
      </c>
      <c r="L107" s="7">
        <f>SalesData[[#This Row],[Total Sales]]-SalesData[[#This Row],[Total Cost]]</f>
        <v>1534884</v>
      </c>
    </row>
    <row r="108" spans="1:12" x14ac:dyDescent="0.3">
      <c r="A108" s="1">
        <v>45829</v>
      </c>
      <c r="B108" s="1" t="str">
        <f>TEXT(SalesData[[#This Row],[Date]],"MMM")</f>
        <v>Jun</v>
      </c>
      <c r="C108" t="s">
        <v>7</v>
      </c>
      <c r="D108" t="s">
        <v>8</v>
      </c>
      <c r="E108" t="s">
        <v>19</v>
      </c>
      <c r="F108" s="7">
        <v>1932</v>
      </c>
      <c r="G108" s="7">
        <f>SalesData[[#This Row],[Cost]]*SalesData[[#This Row],[Units Sold]]</f>
        <v>9660</v>
      </c>
      <c r="H108">
        <v>5</v>
      </c>
      <c r="I108" s="7">
        <v>15000</v>
      </c>
      <c r="J108" s="7">
        <f>SalesData[[#This Row],[Units Sold]]*SalesData[[#This Row],[Unit Price]]</f>
        <v>75000</v>
      </c>
      <c r="K108" s="7">
        <f>SalesData[[#This Row],[Unit Price]]-SalesData[[#This Row],[Cost]]</f>
        <v>13068</v>
      </c>
      <c r="L108" s="7">
        <f>SalesData[[#This Row],[Total Sales]]-SalesData[[#This Row],[Total Cost]]</f>
        <v>65340</v>
      </c>
    </row>
    <row r="109" spans="1:12" x14ac:dyDescent="0.3">
      <c r="A109" s="1">
        <v>45815</v>
      </c>
      <c r="B109" s="1" t="str">
        <f>TEXT(SalesData[[#This Row],[Date]],"MMM")</f>
        <v>Jun</v>
      </c>
      <c r="C109" t="s">
        <v>13</v>
      </c>
      <c r="D109" t="s">
        <v>8</v>
      </c>
      <c r="E109" t="s">
        <v>19</v>
      </c>
      <c r="F109" s="7">
        <v>1282</v>
      </c>
      <c r="G109" s="7">
        <f>SalesData[[#This Row],[Cost]]*SalesData[[#This Row],[Units Sold]]</f>
        <v>6410</v>
      </c>
      <c r="H109">
        <v>5</v>
      </c>
      <c r="I109" s="7">
        <v>120000</v>
      </c>
      <c r="J109" s="7">
        <f>SalesData[[#This Row],[Units Sold]]*SalesData[[#This Row],[Unit Price]]</f>
        <v>600000</v>
      </c>
      <c r="K109" s="7">
        <f>SalesData[[#This Row],[Unit Price]]-SalesData[[#This Row],[Cost]]</f>
        <v>118718</v>
      </c>
      <c r="L109" s="7">
        <f>SalesData[[#This Row],[Total Sales]]-SalesData[[#This Row],[Total Cost]]</f>
        <v>593590</v>
      </c>
    </row>
    <row r="110" spans="1:12" x14ac:dyDescent="0.3">
      <c r="A110" s="1">
        <v>45827</v>
      </c>
      <c r="B110" s="1" t="str">
        <f>TEXT(SalesData[[#This Row],[Date]],"MMM")</f>
        <v>Jun</v>
      </c>
      <c r="C110" t="s">
        <v>20</v>
      </c>
      <c r="D110" t="s">
        <v>17</v>
      </c>
      <c r="E110" t="s">
        <v>22</v>
      </c>
      <c r="F110" s="7">
        <v>1282</v>
      </c>
      <c r="G110" s="7">
        <f>SalesData[[#This Row],[Cost]]*SalesData[[#This Row],[Units Sold]]</f>
        <v>21794</v>
      </c>
      <c r="H110">
        <v>17</v>
      </c>
      <c r="I110" s="7">
        <v>5000</v>
      </c>
      <c r="J110" s="7">
        <f>SalesData[[#This Row],[Units Sold]]*SalesData[[#This Row],[Unit Price]]</f>
        <v>85000</v>
      </c>
      <c r="K110" s="7">
        <f>SalesData[[#This Row],[Unit Price]]-SalesData[[#This Row],[Cost]]</f>
        <v>3718</v>
      </c>
      <c r="L110" s="7">
        <f>SalesData[[#This Row],[Total Sales]]-SalesData[[#This Row],[Total Cost]]</f>
        <v>63206</v>
      </c>
    </row>
    <row r="111" spans="1:12" x14ac:dyDescent="0.3">
      <c r="A111" s="1">
        <v>45814</v>
      </c>
      <c r="B111" s="1" t="str">
        <f>TEXT(SalesData[[#This Row],[Date]],"MMM")</f>
        <v>Jun</v>
      </c>
      <c r="C111" t="s">
        <v>13</v>
      </c>
      <c r="D111" t="s">
        <v>14</v>
      </c>
      <c r="E111" t="s">
        <v>9</v>
      </c>
      <c r="F111" s="7">
        <v>633</v>
      </c>
      <c r="G111" s="7">
        <f>SalesData[[#This Row],[Cost]]*SalesData[[#This Row],[Units Sold]]</f>
        <v>3165</v>
      </c>
      <c r="H111">
        <v>5</v>
      </c>
      <c r="I111" s="7">
        <v>15000</v>
      </c>
      <c r="J111" s="7">
        <f>SalesData[[#This Row],[Units Sold]]*SalesData[[#This Row],[Unit Price]]</f>
        <v>75000</v>
      </c>
      <c r="K111" s="7">
        <f>SalesData[[#This Row],[Unit Price]]-SalesData[[#This Row],[Cost]]</f>
        <v>14367</v>
      </c>
      <c r="L111" s="7">
        <f>SalesData[[#This Row],[Total Sales]]-SalesData[[#This Row],[Total Cost]]</f>
        <v>71835</v>
      </c>
    </row>
    <row r="112" spans="1:12" x14ac:dyDescent="0.3">
      <c r="A112" s="1">
        <v>45824</v>
      </c>
      <c r="B112" s="1" t="str">
        <f>TEXT(SalesData[[#This Row],[Date]],"MMM")</f>
        <v>Jun</v>
      </c>
      <c r="C112" t="s">
        <v>13</v>
      </c>
      <c r="D112" t="s">
        <v>8</v>
      </c>
      <c r="E112" t="s">
        <v>15</v>
      </c>
      <c r="F112" s="7">
        <v>633</v>
      </c>
      <c r="G112" s="7">
        <f>SalesData[[#This Row],[Cost]]*SalesData[[#This Row],[Units Sold]]</f>
        <v>5697</v>
      </c>
      <c r="H112">
        <v>9</v>
      </c>
      <c r="I112" s="7">
        <v>5000</v>
      </c>
      <c r="J112" s="7">
        <f>SalesData[[#This Row],[Units Sold]]*SalesData[[#This Row],[Unit Price]]</f>
        <v>45000</v>
      </c>
      <c r="K112" s="7">
        <f>SalesData[[#This Row],[Unit Price]]-SalesData[[#This Row],[Cost]]</f>
        <v>4367</v>
      </c>
      <c r="L112" s="7">
        <f>SalesData[[#This Row],[Total Sales]]-SalesData[[#This Row],[Total Cost]]</f>
        <v>39303</v>
      </c>
    </row>
    <row r="113" spans="1:12" x14ac:dyDescent="0.3">
      <c r="A113" s="1">
        <v>45811</v>
      </c>
      <c r="B113" s="1" t="str">
        <f>TEXT(SalesData[[#This Row],[Date]],"MMM")</f>
        <v>Jun</v>
      </c>
      <c r="C113" t="s">
        <v>10</v>
      </c>
      <c r="D113" t="s">
        <v>14</v>
      </c>
      <c r="E113" t="s">
        <v>12</v>
      </c>
      <c r="F113" s="7">
        <v>17</v>
      </c>
      <c r="G113" s="7">
        <f>SalesData[[#This Row],[Cost]]*SalesData[[#This Row],[Units Sold]]</f>
        <v>34</v>
      </c>
      <c r="H113">
        <v>2</v>
      </c>
      <c r="I113" s="7">
        <v>10000</v>
      </c>
      <c r="J113" s="7">
        <f>SalesData[[#This Row],[Units Sold]]*SalesData[[#This Row],[Unit Price]]</f>
        <v>20000</v>
      </c>
      <c r="K113" s="7">
        <f>SalesData[[#This Row],[Unit Price]]-SalesData[[#This Row],[Cost]]</f>
        <v>9983</v>
      </c>
      <c r="L113" s="7">
        <f>SalesData[[#This Row],[Total Sales]]-SalesData[[#This Row],[Total Cost]]</f>
        <v>19966</v>
      </c>
    </row>
    <row r="114" spans="1:12" x14ac:dyDescent="0.3">
      <c r="A114" s="1">
        <v>45821</v>
      </c>
      <c r="B114" s="1" t="str">
        <f>TEXT(SalesData[[#This Row],[Date]],"MMM")</f>
        <v>Jun</v>
      </c>
      <c r="C114" t="s">
        <v>20</v>
      </c>
      <c r="D114" t="s">
        <v>17</v>
      </c>
      <c r="E114" t="s">
        <v>12</v>
      </c>
      <c r="F114" s="7">
        <v>17</v>
      </c>
      <c r="G114" s="7">
        <f>SalesData[[#This Row],[Cost]]*SalesData[[#This Row],[Units Sold]]</f>
        <v>119</v>
      </c>
      <c r="H114">
        <v>7</v>
      </c>
      <c r="I114" s="7">
        <v>5000</v>
      </c>
      <c r="J114" s="7">
        <f>SalesData[[#This Row],[Units Sold]]*SalesData[[#This Row],[Unit Price]]</f>
        <v>35000</v>
      </c>
      <c r="K114" s="7">
        <f>SalesData[[#This Row],[Unit Price]]-SalesData[[#This Row],[Cost]]</f>
        <v>4983</v>
      </c>
      <c r="L114" s="7">
        <f>SalesData[[#This Row],[Total Sales]]-SalesData[[#This Row],[Total Cost]]</f>
        <v>34881</v>
      </c>
    </row>
    <row r="115" spans="1:12" x14ac:dyDescent="0.3">
      <c r="A115" s="1">
        <v>45809</v>
      </c>
      <c r="B115" s="1" t="str">
        <f>TEXT(SalesData[[#This Row],[Date]],"MMM")</f>
        <v>Jun</v>
      </c>
      <c r="C115" t="s">
        <v>7</v>
      </c>
      <c r="D115" t="s">
        <v>11</v>
      </c>
      <c r="E115" t="s">
        <v>9</v>
      </c>
      <c r="F115" s="7">
        <v>667</v>
      </c>
      <c r="G115" s="7">
        <f>SalesData[[#This Row],[Cost]]*SalesData[[#This Row],[Units Sold]]</f>
        <v>11339</v>
      </c>
      <c r="H115">
        <v>17</v>
      </c>
      <c r="I115" s="7">
        <v>15000</v>
      </c>
      <c r="J115" s="7">
        <f>SalesData[[#This Row],[Units Sold]]*SalesData[[#This Row],[Unit Price]]</f>
        <v>255000</v>
      </c>
      <c r="K115" s="7">
        <f>SalesData[[#This Row],[Unit Price]]-SalesData[[#This Row],[Cost]]</f>
        <v>14333</v>
      </c>
      <c r="L115" s="7">
        <f>SalesData[[#This Row],[Total Sales]]-SalesData[[#This Row],[Total Cost]]</f>
        <v>243661</v>
      </c>
    </row>
    <row r="116" spans="1:12" x14ac:dyDescent="0.3">
      <c r="A116" s="1">
        <v>45820</v>
      </c>
      <c r="B116" s="1" t="str">
        <f>TEXT(SalesData[[#This Row],[Date]],"MMM")</f>
        <v>Jun</v>
      </c>
      <c r="C116" t="s">
        <v>13</v>
      </c>
      <c r="D116" t="s">
        <v>11</v>
      </c>
      <c r="E116" t="s">
        <v>22</v>
      </c>
      <c r="F116" s="7">
        <v>667</v>
      </c>
      <c r="G116" s="7">
        <f>SalesData[[#This Row],[Cost]]*SalesData[[#This Row],[Units Sold]]</f>
        <v>3335</v>
      </c>
      <c r="H116">
        <v>5</v>
      </c>
      <c r="I116" s="7">
        <v>120000</v>
      </c>
      <c r="J116" s="7">
        <f>SalesData[[#This Row],[Units Sold]]*SalesData[[#This Row],[Unit Price]]</f>
        <v>600000</v>
      </c>
      <c r="K116" s="7">
        <f>SalesData[[#This Row],[Unit Price]]-SalesData[[#This Row],[Cost]]</f>
        <v>119333</v>
      </c>
      <c r="L116" s="7">
        <f>SalesData[[#This Row],[Total Sales]]-SalesData[[#This Row],[Total Cost]]</f>
        <v>596665</v>
      </c>
    </row>
    <row r="117" spans="1:12" x14ac:dyDescent="0.3">
      <c r="A117" s="1">
        <v>45837</v>
      </c>
      <c r="B117" s="1" t="str">
        <f>TEXT(SalesData[[#This Row],[Date]],"MMM")</f>
        <v>Jun</v>
      </c>
      <c r="C117" t="s">
        <v>7</v>
      </c>
      <c r="D117" t="s">
        <v>17</v>
      </c>
      <c r="E117" t="s">
        <v>12</v>
      </c>
      <c r="F117" s="7">
        <v>667</v>
      </c>
      <c r="G117" s="7">
        <f>SalesData[[#This Row],[Cost]]*SalesData[[#This Row],[Units Sold]]</f>
        <v>667</v>
      </c>
      <c r="H117">
        <v>1</v>
      </c>
      <c r="I117" s="7">
        <v>15000</v>
      </c>
      <c r="J117" s="7">
        <f>SalesData[[#This Row],[Units Sold]]*SalesData[[#This Row],[Unit Price]]</f>
        <v>15000</v>
      </c>
      <c r="K117" s="7">
        <f>SalesData[[#This Row],[Unit Price]]-SalesData[[#This Row],[Cost]]</f>
        <v>14333</v>
      </c>
      <c r="L117" s="7">
        <f>SalesData[[#This Row],[Total Sales]]-SalesData[[#This Row],[Total Cost]]</f>
        <v>14333</v>
      </c>
    </row>
    <row r="118" spans="1:12" x14ac:dyDescent="0.3">
      <c r="A118" s="1">
        <v>45819</v>
      </c>
      <c r="B118" s="1" t="str">
        <f>TEXT(SalesData[[#This Row],[Date]],"MMM")</f>
        <v>Jun</v>
      </c>
      <c r="C118" t="s">
        <v>10</v>
      </c>
      <c r="D118" t="s">
        <v>11</v>
      </c>
      <c r="E118" t="s">
        <v>22</v>
      </c>
      <c r="F118" s="7">
        <v>1300</v>
      </c>
      <c r="G118" s="7">
        <f>SalesData[[#This Row],[Cost]]*SalesData[[#This Row],[Units Sold]]</f>
        <v>20800</v>
      </c>
      <c r="H118">
        <v>16</v>
      </c>
      <c r="I118" s="7">
        <v>15000</v>
      </c>
      <c r="J118" s="7">
        <f>SalesData[[#This Row],[Units Sold]]*SalesData[[#This Row],[Unit Price]]</f>
        <v>240000</v>
      </c>
      <c r="K118" s="7">
        <f>SalesData[[#This Row],[Unit Price]]-SalesData[[#This Row],[Cost]]</f>
        <v>13700</v>
      </c>
      <c r="L118" s="7">
        <f>SalesData[[#This Row],[Total Sales]]-SalesData[[#This Row],[Total Cost]]</f>
        <v>219200</v>
      </c>
    </row>
    <row r="119" spans="1:12" x14ac:dyDescent="0.3">
      <c r="A119" s="1">
        <v>45832</v>
      </c>
      <c r="B119" s="1" t="str">
        <f>TEXT(SalesData[[#This Row],[Date]],"MMM")</f>
        <v>Jun</v>
      </c>
      <c r="C119" t="s">
        <v>20</v>
      </c>
      <c r="D119" t="s">
        <v>17</v>
      </c>
      <c r="E119" t="s">
        <v>19</v>
      </c>
      <c r="F119" s="7">
        <v>1300</v>
      </c>
      <c r="G119" s="7">
        <f>SalesData[[#This Row],[Cost]]*SalesData[[#This Row],[Units Sold]]</f>
        <v>2600</v>
      </c>
      <c r="H119">
        <v>2</v>
      </c>
      <c r="I119" s="7">
        <v>5000</v>
      </c>
      <c r="J119" s="7">
        <f>SalesData[[#This Row],[Units Sold]]*SalesData[[#This Row],[Unit Price]]</f>
        <v>10000</v>
      </c>
      <c r="K119" s="7">
        <f>SalesData[[#This Row],[Unit Price]]-SalesData[[#This Row],[Cost]]</f>
        <v>3700</v>
      </c>
      <c r="L119" s="7">
        <f>SalesData[[#This Row],[Total Sales]]-SalesData[[#This Row],[Total Cost]]</f>
        <v>7400</v>
      </c>
    </row>
    <row r="120" spans="1:12" x14ac:dyDescent="0.3">
      <c r="A120" s="1">
        <v>45820</v>
      </c>
      <c r="B120" s="1" t="str">
        <f>TEXT(SalesData[[#This Row],[Date]],"MMM")</f>
        <v>Jun</v>
      </c>
      <c r="C120" t="s">
        <v>13</v>
      </c>
      <c r="D120" t="s">
        <v>8</v>
      </c>
      <c r="E120" t="s">
        <v>9</v>
      </c>
      <c r="F120" s="7">
        <v>4000</v>
      </c>
      <c r="G120" s="7">
        <f>SalesData[[#This Row],[Cost]]*SalesData[[#This Row],[Units Sold]]</f>
        <v>68000</v>
      </c>
      <c r="H120">
        <v>17</v>
      </c>
      <c r="I120" s="7">
        <v>80000</v>
      </c>
      <c r="J120" s="7">
        <f>SalesData[[#This Row],[Units Sold]]*SalesData[[#This Row],[Unit Price]]</f>
        <v>1360000</v>
      </c>
      <c r="K120" s="7">
        <f>SalesData[[#This Row],[Unit Price]]-SalesData[[#This Row],[Cost]]</f>
        <v>76000</v>
      </c>
      <c r="L120" s="7">
        <f>SalesData[[#This Row],[Total Sales]]-SalesData[[#This Row],[Total Cost]]</f>
        <v>1292000</v>
      </c>
    </row>
    <row r="121" spans="1:12" x14ac:dyDescent="0.3">
      <c r="A121" s="1">
        <v>45832</v>
      </c>
      <c r="B121" s="1" t="str">
        <f>TEXT(SalesData[[#This Row],[Date]],"MMM")</f>
        <v>Jun</v>
      </c>
      <c r="C121" t="s">
        <v>20</v>
      </c>
      <c r="D121" t="s">
        <v>11</v>
      </c>
      <c r="E121" t="s">
        <v>12</v>
      </c>
      <c r="F121" s="7">
        <v>4000</v>
      </c>
      <c r="G121" s="7">
        <f>SalesData[[#This Row],[Cost]]*SalesData[[#This Row],[Units Sold]]</f>
        <v>20000</v>
      </c>
      <c r="H121">
        <v>5</v>
      </c>
      <c r="I121" s="7">
        <v>10000</v>
      </c>
      <c r="J121" s="7">
        <f>SalesData[[#This Row],[Units Sold]]*SalesData[[#This Row],[Unit Price]]</f>
        <v>50000</v>
      </c>
      <c r="K121" s="7">
        <f>SalesData[[#This Row],[Unit Price]]-SalesData[[#This Row],[Cost]]</f>
        <v>6000</v>
      </c>
      <c r="L121" s="7">
        <f>SalesData[[#This Row],[Total Sales]]-SalesData[[#This Row],[Total Cost]]</f>
        <v>30000</v>
      </c>
    </row>
  </sheetData>
  <pageMargins left="0.7" right="0.7" top="0.75" bottom="0.75" header="0.3" footer="0.3"/>
  <pageSetup orientation="portrait"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288F6-C644-471E-BF2B-4FEBA848E089}">
  <dimension ref="A1:C13"/>
  <sheetViews>
    <sheetView workbookViewId="0">
      <selection activeCell="B6" sqref="B6"/>
    </sheetView>
  </sheetViews>
  <sheetFormatPr defaultRowHeight="14.4" x14ac:dyDescent="0.3"/>
  <cols>
    <col min="1" max="1" width="12.44140625" bestFit="1" customWidth="1"/>
    <col min="2" max="2" width="15.5546875" style="7" bestFit="1" customWidth="1"/>
    <col min="3" max="3" width="13.88671875" style="7" bestFit="1" customWidth="1"/>
  </cols>
  <sheetData>
    <row r="1" spans="1:3" x14ac:dyDescent="0.3">
      <c r="A1" s="3" t="s">
        <v>28</v>
      </c>
      <c r="B1" s="7" t="s">
        <v>24</v>
      </c>
      <c r="C1" s="7" t="s">
        <v>27</v>
      </c>
    </row>
    <row r="2" spans="1:3" x14ac:dyDescent="0.3">
      <c r="A2" s="4" t="s">
        <v>20</v>
      </c>
      <c r="B2" s="7">
        <v>28850000</v>
      </c>
      <c r="C2" s="7">
        <v>28273157</v>
      </c>
    </row>
    <row r="3" spans="1:3" x14ac:dyDescent="0.3">
      <c r="A3" s="4" t="s">
        <v>10</v>
      </c>
      <c r="B3" s="7">
        <v>26320000</v>
      </c>
      <c r="C3" s="7">
        <v>25077709</v>
      </c>
    </row>
    <row r="4" spans="1:3" x14ac:dyDescent="0.3">
      <c r="A4" s="4" t="s">
        <v>7</v>
      </c>
      <c r="B4" s="7">
        <v>22220000</v>
      </c>
      <c r="C4" s="7">
        <v>21469972</v>
      </c>
    </row>
    <row r="5" spans="1:3" x14ac:dyDescent="0.3">
      <c r="A5" s="4" t="s">
        <v>13</v>
      </c>
      <c r="B5" s="7">
        <v>22835000</v>
      </c>
      <c r="C5" s="7">
        <v>21659698</v>
      </c>
    </row>
    <row r="6" spans="1:3" x14ac:dyDescent="0.3">
      <c r="A6" s="4" t="s">
        <v>29</v>
      </c>
      <c r="B6" s="7">
        <v>100225000</v>
      </c>
      <c r="C6" s="7">
        <v>96480536</v>
      </c>
    </row>
    <row r="8" spans="1:3" x14ac:dyDescent="0.3">
      <c r="A8" s="3" t="s">
        <v>28</v>
      </c>
      <c r="B8" s="11" t="s">
        <v>38</v>
      </c>
      <c r="C8"/>
    </row>
    <row r="9" spans="1:3" x14ac:dyDescent="0.3">
      <c r="A9" s="4" t="s">
        <v>20</v>
      </c>
      <c r="B9" s="11">
        <v>279</v>
      </c>
      <c r="C9"/>
    </row>
    <row r="10" spans="1:3" x14ac:dyDescent="0.3">
      <c r="A10" s="4" t="s">
        <v>10</v>
      </c>
      <c r="B10" s="11">
        <v>363</v>
      </c>
      <c r="C10"/>
    </row>
    <row r="11" spans="1:3" x14ac:dyDescent="0.3">
      <c r="A11" s="4" t="s">
        <v>7</v>
      </c>
      <c r="B11" s="11">
        <v>256</v>
      </c>
      <c r="C11"/>
    </row>
    <row r="12" spans="1:3" x14ac:dyDescent="0.3">
      <c r="A12" s="4" t="s">
        <v>13</v>
      </c>
      <c r="B12" s="11">
        <v>295</v>
      </c>
      <c r="C12"/>
    </row>
    <row r="13" spans="1:3" x14ac:dyDescent="0.3">
      <c r="A13" s="4" t="s">
        <v>29</v>
      </c>
      <c r="B13" s="11">
        <v>1193</v>
      </c>
      <c r="C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9FCFC-EE8D-48C3-85E0-A25FBB1828C5}">
  <dimension ref="A1:B8"/>
  <sheetViews>
    <sheetView workbookViewId="0">
      <selection activeCell="D25" sqref="D25"/>
    </sheetView>
  </sheetViews>
  <sheetFormatPr defaultRowHeight="14.4" x14ac:dyDescent="0.3"/>
  <cols>
    <col min="1" max="1" width="12.44140625" bestFit="1" customWidth="1"/>
    <col min="2" max="2" width="13.88671875" style="7" bestFit="1" customWidth="1"/>
  </cols>
  <sheetData>
    <row r="1" spans="1:2" x14ac:dyDescent="0.3">
      <c r="A1" s="3" t="s">
        <v>28</v>
      </c>
      <c r="B1" s="7" t="s">
        <v>27</v>
      </c>
    </row>
    <row r="2" spans="1:2" x14ac:dyDescent="0.3">
      <c r="A2" s="4" t="s">
        <v>18</v>
      </c>
      <c r="B2" s="7">
        <v>20803838</v>
      </c>
    </row>
    <row r="3" spans="1:2" x14ac:dyDescent="0.3">
      <c r="A3" s="4" t="s">
        <v>11</v>
      </c>
      <c r="B3" s="7">
        <v>20319006</v>
      </c>
    </row>
    <row r="4" spans="1:2" x14ac:dyDescent="0.3">
      <c r="A4" s="4" t="s">
        <v>17</v>
      </c>
      <c r="B4" s="7">
        <v>16659573</v>
      </c>
    </row>
    <row r="5" spans="1:2" x14ac:dyDescent="0.3">
      <c r="A5" s="4" t="s">
        <v>14</v>
      </c>
      <c r="B5" s="7">
        <v>15376443</v>
      </c>
    </row>
    <row r="6" spans="1:2" x14ac:dyDescent="0.3">
      <c r="A6" s="4" t="s">
        <v>21</v>
      </c>
      <c r="B6" s="7">
        <v>13437444</v>
      </c>
    </row>
    <row r="7" spans="1:2" x14ac:dyDescent="0.3">
      <c r="A7" s="4" t="s">
        <v>8</v>
      </c>
      <c r="B7" s="7">
        <v>9884232</v>
      </c>
    </row>
    <row r="8" spans="1:2" x14ac:dyDescent="0.3">
      <c r="A8" s="4" t="s">
        <v>29</v>
      </c>
      <c r="B8" s="7">
        <v>96480536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5BC39-8742-43A8-916B-07CE44BCCC31}">
  <dimension ref="A1:B8"/>
  <sheetViews>
    <sheetView workbookViewId="0">
      <selection activeCell="B5" sqref="B5"/>
    </sheetView>
  </sheetViews>
  <sheetFormatPr defaultRowHeight="14.4" x14ac:dyDescent="0.3"/>
  <cols>
    <col min="1" max="1" width="12.44140625" bestFit="1" customWidth="1"/>
    <col min="2" max="2" width="14.88671875" style="7" bestFit="1" customWidth="1"/>
    <col min="3" max="7" width="13.77734375" bestFit="1" customWidth="1"/>
    <col min="8" max="8" width="14.77734375" bestFit="1" customWidth="1"/>
  </cols>
  <sheetData>
    <row r="1" spans="1:2" x14ac:dyDescent="0.3">
      <c r="A1" s="3" t="s">
        <v>28</v>
      </c>
      <c r="B1" s="7" t="s">
        <v>24</v>
      </c>
    </row>
    <row r="2" spans="1:2" x14ac:dyDescent="0.3">
      <c r="A2" s="4" t="s">
        <v>22</v>
      </c>
      <c r="B2" s="7">
        <v>12540000</v>
      </c>
    </row>
    <row r="3" spans="1:2" x14ac:dyDescent="0.3">
      <c r="A3" s="4" t="s">
        <v>15</v>
      </c>
      <c r="B3" s="7">
        <v>13620000</v>
      </c>
    </row>
    <row r="4" spans="1:2" x14ac:dyDescent="0.3">
      <c r="A4" s="4" t="s">
        <v>19</v>
      </c>
      <c r="B4" s="7">
        <v>14775000</v>
      </c>
    </row>
    <row r="5" spans="1:2" x14ac:dyDescent="0.3">
      <c r="A5" s="4" t="s">
        <v>9</v>
      </c>
      <c r="B5" s="7">
        <v>18155000</v>
      </c>
    </row>
    <row r="6" spans="1:2" x14ac:dyDescent="0.3">
      <c r="A6" s="4" t="s">
        <v>16</v>
      </c>
      <c r="B6" s="7">
        <v>19480000</v>
      </c>
    </row>
    <row r="7" spans="1:2" x14ac:dyDescent="0.3">
      <c r="A7" s="4" t="s">
        <v>12</v>
      </c>
      <c r="B7" s="7">
        <v>21655000</v>
      </c>
    </row>
    <row r="8" spans="1:2" x14ac:dyDescent="0.3">
      <c r="A8" s="4" t="s">
        <v>29</v>
      </c>
      <c r="B8" s="7">
        <v>100225000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43EA6-11C5-4663-A905-9F7916B816B7}">
  <dimension ref="A1:C8"/>
  <sheetViews>
    <sheetView workbookViewId="0">
      <selection activeCell="V50" sqref="V50"/>
    </sheetView>
  </sheetViews>
  <sheetFormatPr defaultRowHeight="14.4" x14ac:dyDescent="0.3"/>
  <cols>
    <col min="1" max="1" width="12.44140625" bestFit="1" customWidth="1"/>
    <col min="2" max="2" width="14.88671875" style="7" bestFit="1" customWidth="1"/>
    <col min="3" max="3" width="13.88671875" style="7" bestFit="1" customWidth="1"/>
    <col min="4" max="5" width="10.77734375" bestFit="1" customWidth="1"/>
    <col min="6" max="33" width="10.109375" bestFit="1" customWidth="1"/>
    <col min="34" max="34" width="11.109375" bestFit="1" customWidth="1"/>
    <col min="35" max="41" width="10.109375" bestFit="1" customWidth="1"/>
    <col min="42" max="42" width="11.109375" bestFit="1" customWidth="1"/>
    <col min="43" max="47" width="10.109375" bestFit="1" customWidth="1"/>
    <col min="48" max="48" width="11.109375" bestFit="1" customWidth="1"/>
    <col min="49" max="49" width="10.109375" bestFit="1" customWidth="1"/>
    <col min="50" max="84" width="11.109375" bestFit="1" customWidth="1"/>
    <col min="85" max="120" width="12.6640625" bestFit="1" customWidth="1"/>
    <col min="121" max="121" width="14.77734375" bestFit="1" customWidth="1"/>
    <col min="122" max="122" width="17.33203125" bestFit="1" customWidth="1"/>
    <col min="123" max="123" width="12.6640625" bestFit="1" customWidth="1"/>
    <col min="124" max="124" width="17.33203125" bestFit="1" customWidth="1"/>
    <col min="125" max="125" width="12.6640625" bestFit="1" customWidth="1"/>
    <col min="126" max="126" width="17.33203125" bestFit="1" customWidth="1"/>
    <col min="127" max="128" width="12.6640625" bestFit="1" customWidth="1"/>
    <col min="129" max="129" width="17.33203125" bestFit="1" customWidth="1"/>
    <col min="130" max="130" width="12.6640625" bestFit="1" customWidth="1"/>
    <col min="131" max="131" width="17.33203125" bestFit="1" customWidth="1"/>
    <col min="132" max="133" width="12.6640625" bestFit="1" customWidth="1"/>
    <col min="134" max="134" width="17.33203125" bestFit="1" customWidth="1"/>
    <col min="135" max="135" width="12.6640625" bestFit="1" customWidth="1"/>
    <col min="136" max="136" width="17.33203125" bestFit="1" customWidth="1"/>
    <col min="137" max="140" width="12.6640625" bestFit="1" customWidth="1"/>
    <col min="141" max="141" width="17.33203125" bestFit="1" customWidth="1"/>
    <col min="142" max="143" width="12.6640625" bestFit="1" customWidth="1"/>
    <col min="144" max="144" width="17.33203125" bestFit="1" customWidth="1"/>
    <col min="145" max="147" width="12.6640625" bestFit="1" customWidth="1"/>
    <col min="148" max="148" width="17.33203125" bestFit="1" customWidth="1"/>
    <col min="149" max="149" width="12.6640625" bestFit="1" customWidth="1"/>
    <col min="150" max="150" width="17.33203125" bestFit="1" customWidth="1"/>
    <col min="151" max="152" width="12.6640625" bestFit="1" customWidth="1"/>
    <col min="153" max="153" width="17.33203125" bestFit="1" customWidth="1"/>
    <col min="154" max="154" width="12.6640625" bestFit="1" customWidth="1"/>
    <col min="155" max="155" width="17.33203125" bestFit="1" customWidth="1"/>
    <col min="156" max="156" width="12.6640625" bestFit="1" customWidth="1"/>
    <col min="157" max="157" width="17.33203125" bestFit="1" customWidth="1"/>
    <col min="158" max="159" width="12.6640625" bestFit="1" customWidth="1"/>
    <col min="160" max="160" width="17.33203125" bestFit="1" customWidth="1"/>
    <col min="161" max="163" width="12.6640625" bestFit="1" customWidth="1"/>
    <col min="164" max="164" width="17.33203125" bestFit="1" customWidth="1"/>
    <col min="165" max="165" width="12.6640625" bestFit="1" customWidth="1"/>
    <col min="166" max="166" width="17.33203125" bestFit="1" customWidth="1"/>
    <col min="167" max="167" width="12.6640625" bestFit="1" customWidth="1"/>
    <col min="168" max="168" width="17.33203125" bestFit="1" customWidth="1"/>
    <col min="169" max="169" width="12.6640625" bestFit="1" customWidth="1"/>
    <col min="170" max="170" width="17.33203125" bestFit="1" customWidth="1"/>
    <col min="171" max="172" width="12.6640625" bestFit="1" customWidth="1"/>
    <col min="173" max="173" width="17.33203125" bestFit="1" customWidth="1"/>
    <col min="174" max="174" width="12.6640625" bestFit="1" customWidth="1"/>
    <col min="175" max="175" width="17.33203125" bestFit="1" customWidth="1"/>
    <col min="176" max="176" width="12.6640625" bestFit="1" customWidth="1"/>
    <col min="177" max="177" width="17.33203125" bestFit="1" customWidth="1"/>
    <col min="178" max="178" width="12.6640625" bestFit="1" customWidth="1"/>
    <col min="179" max="179" width="17.33203125" bestFit="1" customWidth="1"/>
    <col min="180" max="180" width="10.5546875" bestFit="1" customWidth="1"/>
  </cols>
  <sheetData>
    <row r="1" spans="1:3" x14ac:dyDescent="0.3">
      <c r="A1" s="3" t="s">
        <v>28</v>
      </c>
      <c r="B1" s="7" t="s">
        <v>24</v>
      </c>
      <c r="C1" s="7" t="s">
        <v>27</v>
      </c>
    </row>
    <row r="2" spans="1:3" x14ac:dyDescent="0.3">
      <c r="A2" s="4" t="s">
        <v>31</v>
      </c>
      <c r="B2" s="7">
        <v>27950000</v>
      </c>
      <c r="C2" s="7">
        <v>27273164</v>
      </c>
    </row>
    <row r="3" spans="1:3" x14ac:dyDescent="0.3">
      <c r="A3" s="4" t="s">
        <v>32</v>
      </c>
      <c r="B3" s="7">
        <v>29270000</v>
      </c>
      <c r="C3" s="7">
        <v>28212740</v>
      </c>
    </row>
    <row r="4" spans="1:3" x14ac:dyDescent="0.3">
      <c r="A4" s="4" t="s">
        <v>33</v>
      </c>
      <c r="B4" s="7">
        <v>17985000</v>
      </c>
      <c r="C4" s="7">
        <v>17241442</v>
      </c>
    </row>
    <row r="5" spans="1:3" x14ac:dyDescent="0.3">
      <c r="A5" s="4" t="s">
        <v>34</v>
      </c>
      <c r="B5" s="7">
        <v>10235000</v>
      </c>
      <c r="C5" s="7">
        <v>9630255</v>
      </c>
    </row>
    <row r="6" spans="1:3" x14ac:dyDescent="0.3">
      <c r="A6" s="4" t="s">
        <v>35</v>
      </c>
      <c r="B6" s="7">
        <v>8920000</v>
      </c>
      <c r="C6" s="7">
        <v>8477327</v>
      </c>
    </row>
    <row r="7" spans="1:3" x14ac:dyDescent="0.3">
      <c r="A7" s="4" t="s">
        <v>36</v>
      </c>
      <c r="B7" s="7">
        <v>5865000</v>
      </c>
      <c r="C7" s="7">
        <v>5645608</v>
      </c>
    </row>
    <row r="8" spans="1:3" x14ac:dyDescent="0.3">
      <c r="A8" s="4" t="s">
        <v>29</v>
      </c>
      <c r="B8" s="7">
        <v>100225000</v>
      </c>
      <c r="C8" s="7">
        <v>96480536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344AC-CCBB-421C-A1AF-F0B6442CAE62}">
  <dimension ref="A1:F9"/>
  <sheetViews>
    <sheetView workbookViewId="0">
      <selection activeCell="H21" sqref="H21"/>
    </sheetView>
  </sheetViews>
  <sheetFormatPr defaultRowHeight="14.4" x14ac:dyDescent="0.3"/>
  <cols>
    <col min="1" max="1" width="12.44140625" bestFit="1" customWidth="1"/>
    <col min="2" max="2" width="15.5546875" style="7" bestFit="1" customWidth="1"/>
    <col min="3" max="6" width="13.88671875" style="7" bestFit="1" customWidth="1"/>
  </cols>
  <sheetData>
    <row r="1" spans="1:6" x14ac:dyDescent="0.3">
      <c r="A1" s="3" t="s">
        <v>27</v>
      </c>
      <c r="B1" s="8" t="s">
        <v>30</v>
      </c>
    </row>
    <row r="2" spans="1:6" x14ac:dyDescent="0.3">
      <c r="A2" s="3" t="s">
        <v>28</v>
      </c>
      <c r="B2" s="7" t="s">
        <v>20</v>
      </c>
      <c r="C2" s="7" t="s">
        <v>10</v>
      </c>
      <c r="D2" s="7" t="s">
        <v>7</v>
      </c>
      <c r="E2" s="7" t="s">
        <v>13</v>
      </c>
      <c r="F2" s="7" t="s">
        <v>29</v>
      </c>
    </row>
    <row r="3" spans="1:6" x14ac:dyDescent="0.3">
      <c r="A3" s="4" t="s">
        <v>16</v>
      </c>
      <c r="B3" s="7">
        <v>7107109</v>
      </c>
      <c r="C3" s="7">
        <v>1225154</v>
      </c>
      <c r="D3" s="7">
        <v>9219585</v>
      </c>
      <c r="E3" s="7">
        <v>1340028</v>
      </c>
      <c r="F3" s="7">
        <v>18891876</v>
      </c>
    </row>
    <row r="4" spans="1:6" x14ac:dyDescent="0.3">
      <c r="A4" s="4" t="s">
        <v>22</v>
      </c>
      <c r="B4" s="7">
        <v>63206</v>
      </c>
      <c r="C4" s="7">
        <v>6644538</v>
      </c>
      <c r="D4" s="7">
        <v>4270901</v>
      </c>
      <c r="E4" s="7">
        <v>1226717</v>
      </c>
      <c r="F4" s="7">
        <v>12205362</v>
      </c>
    </row>
    <row r="5" spans="1:6" x14ac:dyDescent="0.3">
      <c r="A5" s="4" t="s">
        <v>19</v>
      </c>
      <c r="B5" s="7">
        <v>4089734</v>
      </c>
      <c r="C5" s="7">
        <v>5929116</v>
      </c>
      <c r="D5" s="7">
        <v>232952</v>
      </c>
      <c r="E5" s="7">
        <v>3977590</v>
      </c>
      <c r="F5" s="7">
        <v>14229392</v>
      </c>
    </row>
    <row r="6" spans="1:6" x14ac:dyDescent="0.3">
      <c r="A6" s="4" t="s">
        <v>15</v>
      </c>
      <c r="B6" s="7">
        <v>4901184</v>
      </c>
      <c r="C6" s="7">
        <v>1336248</v>
      </c>
      <c r="D6" s="7">
        <v>3240972</v>
      </c>
      <c r="E6" s="7">
        <v>3292413</v>
      </c>
      <c r="F6" s="7">
        <v>12770817</v>
      </c>
    </row>
    <row r="7" spans="1:6" x14ac:dyDescent="0.3">
      <c r="A7" s="4" t="s">
        <v>12</v>
      </c>
      <c r="B7" s="7">
        <v>2712875</v>
      </c>
      <c r="C7" s="7">
        <v>9684276</v>
      </c>
      <c r="D7" s="7">
        <v>102849</v>
      </c>
      <c r="E7" s="7">
        <v>8524200</v>
      </c>
      <c r="F7" s="7">
        <v>21024200</v>
      </c>
    </row>
    <row r="8" spans="1:6" x14ac:dyDescent="0.3">
      <c r="A8" s="4" t="s">
        <v>9</v>
      </c>
      <c r="B8" s="7">
        <v>9399049</v>
      </c>
      <c r="C8" s="7">
        <v>258377</v>
      </c>
      <c r="D8" s="7">
        <v>4402713</v>
      </c>
      <c r="E8" s="7">
        <v>3298750</v>
      </c>
      <c r="F8" s="7">
        <v>17358889</v>
      </c>
    </row>
    <row r="9" spans="1:6" x14ac:dyDescent="0.3">
      <c r="A9" s="4" t="s">
        <v>29</v>
      </c>
      <c r="B9" s="7">
        <v>28273157</v>
      </c>
      <c r="C9" s="7">
        <v>25077709</v>
      </c>
      <c r="D9" s="7">
        <v>21469972</v>
      </c>
      <c r="E9" s="7">
        <v>21659698</v>
      </c>
      <c r="F9" s="7">
        <v>96480536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7BCE5-3DC3-499E-96D2-2F048703E211}">
  <dimension ref="C7:O10"/>
  <sheetViews>
    <sheetView showGridLines="0" showRowColHeaders="0" tabSelected="1" zoomScale="61" zoomScaleNormal="50" workbookViewId="0">
      <selection activeCell="AF55" sqref="AF55"/>
    </sheetView>
  </sheetViews>
  <sheetFormatPr defaultRowHeight="14.4" x14ac:dyDescent="0.3"/>
  <cols>
    <col min="1" max="1" width="8.88671875" style="5"/>
    <col min="2" max="2" width="14.77734375" style="5" bestFit="1" customWidth="1"/>
    <col min="3" max="7" width="8.88671875" style="5"/>
    <col min="8" max="8" width="13.77734375" style="5" bestFit="1" customWidth="1"/>
    <col min="9" max="16384" width="8.88671875" style="5"/>
  </cols>
  <sheetData>
    <row r="7" spans="3:15" x14ac:dyDescent="0.3">
      <c r="C7" s="9" t="s">
        <v>24</v>
      </c>
      <c r="D7" s="9"/>
      <c r="E7" s="9"/>
      <c r="H7" s="9" t="s">
        <v>27</v>
      </c>
      <c r="I7" s="10"/>
      <c r="J7" s="10"/>
      <c r="M7" s="9" t="s">
        <v>37</v>
      </c>
      <c r="N7" s="9"/>
      <c r="O7" s="9"/>
    </row>
    <row r="8" spans="3:15" x14ac:dyDescent="0.3">
      <c r="C8" s="9"/>
      <c r="D8" s="9"/>
      <c r="E8" s="9"/>
      <c r="H8" s="10"/>
      <c r="I8" s="10"/>
      <c r="J8" s="10"/>
      <c r="M8" s="9"/>
      <c r="N8" s="9"/>
      <c r="O8" s="9"/>
    </row>
    <row r="9" spans="3:15" x14ac:dyDescent="0.3">
      <c r="C9" s="12">
        <f>GETPIVOTDATA("Total Sales",'Regional Analysis'!$A$1)</f>
        <v>100225000</v>
      </c>
      <c r="D9" s="12"/>
      <c r="E9" s="12"/>
      <c r="H9" s="12">
        <f>GETPIVOTDATA("Total Profit",'Regional Analysis'!$A$1)</f>
        <v>96480536</v>
      </c>
      <c r="I9" s="12"/>
      <c r="J9" s="12"/>
      <c r="M9" s="9">
        <f>GETPIVOTDATA("Units Sold",'Regional Analysis'!$A$8)</f>
        <v>1193</v>
      </c>
      <c r="N9" s="9"/>
      <c r="O9" s="9"/>
    </row>
    <row r="10" spans="3:15" x14ac:dyDescent="0.3">
      <c r="C10" s="12"/>
      <c r="D10" s="12"/>
      <c r="E10" s="12"/>
      <c r="H10" s="12"/>
      <c r="I10" s="12"/>
      <c r="J10" s="12"/>
      <c r="M10" s="9"/>
      <c r="N10" s="9"/>
      <c r="O10" s="9"/>
    </row>
  </sheetData>
  <mergeCells count="6">
    <mergeCell ref="C7:E8"/>
    <mergeCell ref="C9:E10"/>
    <mergeCell ref="H7:J8"/>
    <mergeCell ref="H9:J10"/>
    <mergeCell ref="M7:O8"/>
    <mergeCell ref="M9:O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HP_Nigeria_Sales_Data.xlsx</vt:lpstr>
      <vt:lpstr>Regional Analysis</vt:lpstr>
      <vt:lpstr>Salesperson Analysis</vt:lpstr>
      <vt:lpstr>Product Analysis</vt:lpstr>
      <vt:lpstr>Monthly Analysis</vt:lpstr>
      <vt:lpstr>Product Regional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Imran ‏</cp:lastModifiedBy>
  <dcterms:created xsi:type="dcterms:W3CDTF">2025-10-17T07:20:35Z</dcterms:created>
  <dcterms:modified xsi:type="dcterms:W3CDTF">2026-05-11T22:56:25Z</dcterms:modified>
</cp:coreProperties>
</file>